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 acquistare" sheetId="1" state="visible" r:id="rId1"/>
    <sheet xmlns:r="http://schemas.openxmlformats.org/officeDocument/2006/relationships" name="Già acquistati" sheetId="2" state="visible" r:id="rId2"/>
    <sheet xmlns:r="http://schemas.openxmlformats.org/officeDocument/2006/relationships" name="Pezzi stampati" sheetId="3" state="visible" r:id="rId3"/>
    <sheet xmlns:r="http://schemas.openxmlformats.org/officeDocument/2006/relationships" name="Viteria" sheetId="4" state="visible" r:id="rId4"/>
    <sheet xmlns:r="http://schemas.openxmlformats.org/officeDocument/2006/relationships" name="Pannel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0.0"/>
    <numFmt numFmtId="166" formatCode="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5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1" fontId="5" fillId="3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4" fontId="6" fillId="0" borderId="0" pivotButton="0" quotePrefix="0" xfId="0"/>
    <xf numFmtId="166" fontId="4" fillId="0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38" customWidth="1" min="4" max="4"/>
    <col width="7" customWidth="1" min="5" max="5"/>
    <col width="7" customWidth="1" min="6" max="6"/>
    <col width="13" customWidth="1" min="7" max="7"/>
    <col width="12" customWidth="1" min="8" max="8"/>
    <col width="38" customWidth="1" min="9" max="9"/>
    <col width="40" customWidth="1" min="10" max="10"/>
  </cols>
  <sheetData>
    <row r="1">
      <c r="A1" s="1" t="inlineStr">
        <is>
          <t>FilMachine rilascio 7 - distinta: componenti da acquistare</t>
        </is>
      </c>
    </row>
    <row r="2" ht="40" customHeight="1">
      <c r="A2" s="2" t="inlineStr">
        <is>
          <t>Prezzi unitari in blu: stime indicative (ottobre 2026), da verificare all'acquisto. Elettrovalvola: prezzo della distinta originale. I contenitori da 500 ml e i passaparete 3/8" vanno scelti prima di tagliare il piano e il fondo del bagno (fori Ø17).</t>
        </is>
      </c>
    </row>
    <row r="4" ht="30" customHeight="1">
      <c r="A4" s="3" t="inlineStr">
        <is>
          <t>N.</t>
        </is>
      </c>
      <c r="B4" s="3" t="inlineStr">
        <is>
          <t>Gruppo</t>
        </is>
      </c>
      <c r="C4" s="3" t="inlineStr">
        <is>
          <t>Componente</t>
        </is>
      </c>
      <c r="D4" s="3" t="inlineStr">
        <is>
          <t>Specifiche</t>
        </is>
      </c>
      <c r="E4" s="3" t="inlineStr">
        <is>
          <t>Q.tà</t>
        </is>
      </c>
      <c r="F4" s="3" t="inlineStr">
        <is>
          <t>Unità</t>
        </is>
      </c>
      <c r="G4" s="3" t="inlineStr">
        <is>
          <t>Prezzo unitario indicativo (€)</t>
        </is>
      </c>
      <c r="H4" s="3" t="inlineStr">
        <is>
          <t>Totale (€)</t>
        </is>
      </c>
      <c r="I4" s="3" t="inlineStr">
        <is>
          <t>Dove si usa</t>
        </is>
      </c>
      <c r="J4" s="3" t="inlineStr">
        <is>
          <t>Note</t>
        </is>
      </c>
    </row>
    <row r="5">
      <c r="A5" s="4" t="n">
        <v>1</v>
      </c>
      <c r="B5" s="5" t="inlineStr">
        <is>
          <t>Bagno</t>
        </is>
      </c>
      <c r="C5" s="6" t="inlineStr">
        <is>
          <t>Lastre di PMMA (plexiglass) trasparente da 4 mm tagliate a misura</t>
        </is>
      </c>
      <c r="D5" s="5" t="inlineStr">
        <is>
          <t>5 pannelli (fondo, fronte, retro, destra, sinistra con la finestra): misure e fori nei DXF di docs/pannelli</t>
        </is>
      </c>
      <c r="E5" s="7" t="n">
        <v>1</v>
      </c>
      <c r="F5" s="4" t="inlineStr">
        <is>
          <t>serie</t>
        </is>
      </c>
      <c r="G5" s="8" t="n">
        <v>45</v>
      </c>
      <c r="H5" s="9">
        <f>E5*G5</f>
        <v/>
      </c>
      <c r="I5" s="5" t="inlineStr">
        <is>
          <t>vasca del bagno, incollata con collante per acrilico (Acrifix o diclorometano)</t>
        </is>
      </c>
      <c r="J5" s="5" t="inlineStr">
        <is>
          <t>la parete sinistra e' piu' bassa (bordo sotto la gonna del coperchio della tank) e ha la finestra della testata</t>
        </is>
      </c>
    </row>
    <row r="6">
      <c r="A6" s="4" t="n">
        <v>2</v>
      </c>
      <c r="B6" s="5" t="inlineStr">
        <is>
          <t>Bagno</t>
        </is>
      </c>
      <c r="C6" s="6" t="inlineStr">
        <is>
          <t>Lastra di PMMA trasparente da 3 mm tagliata a misura</t>
        </is>
      </c>
      <c r="D6" s="5" t="inlineStr">
        <is>
          <t>coperchio con le aperture dei tappi e della tank (DXF)</t>
        </is>
      </c>
      <c r="E6" s="7" t="n">
        <v>1</v>
      </c>
      <c r="F6" s="4" t="inlineStr">
        <is>
          <t>pz</t>
        </is>
      </c>
      <c r="G6" s="8" t="n">
        <v>15</v>
      </c>
      <c r="H6" s="9">
        <f>E6*G6</f>
        <v/>
      </c>
      <c r="I6" s="5" t="inlineStr">
        <is>
          <t>coperchio del bagno</t>
        </is>
      </c>
      <c r="J6" s="5" t="inlineStr">
        <is>
          <t>bordi smussati</t>
        </is>
      </c>
    </row>
    <row r="7">
      <c r="A7" s="4" t="n">
        <v>3</v>
      </c>
      <c r="B7" s="5" t="inlineStr">
        <is>
          <t>Bagno</t>
        </is>
      </c>
      <c r="C7" s="6" t="inlineStr">
        <is>
          <t>Contenitore in PP rettangolare da 500 ml con tappo a vite</t>
        </is>
      </c>
      <c r="D7" s="5" t="inlineStr">
        <is>
          <t>circa 70 x 95 x 115 mm (lato stretto sul fronte); un foro Ø17 al centro del fondo</t>
        </is>
      </c>
      <c r="E7" s="7" t="n">
        <v>3</v>
      </c>
      <c r="F7" s="4" t="inlineStr">
        <is>
          <t>pz</t>
        </is>
      </c>
      <c r="G7" s="8" t="n">
        <v>3</v>
      </c>
      <c r="H7" s="9">
        <f>E7*G7</f>
        <v/>
      </c>
      <c r="I7" s="5" t="inlineStr">
        <is>
          <t>chimiche C1, C2, C3, immersi nel bagno</t>
        </is>
      </c>
      <c r="J7" s="5" t="inlineStr">
        <is>
          <t>misure di riferimento: se il contenitore scelto e' diverso cambiare CW, CD, CH in machine.py e rigenerare</t>
        </is>
      </c>
    </row>
    <row r="8">
      <c r="A8" s="4" t="n">
        <v>4</v>
      </c>
      <c r="B8" s="5" t="inlineStr">
        <is>
          <t>Bagno</t>
        </is>
      </c>
      <c r="C8" s="6" t="inlineStr">
        <is>
          <t>Passaparete 3/8" BSP in PP con dado, guarnizione e raccordo a innesto 3/8" sul filetto</t>
        </is>
      </c>
      <c r="D8" s="5" t="inlineStr">
        <is>
          <t>filetto lungo almeno 25 mm (fondo del contenitore 1,5 + fondo del bagno 4 + piano 12)</t>
        </is>
      </c>
      <c r="E8" s="7" t="n">
        <v>7</v>
      </c>
      <c r="F8" s="4" t="inlineStr">
        <is>
          <t>pz</t>
        </is>
      </c>
      <c r="G8" s="8" t="n">
        <v>3</v>
      </c>
      <c r="H8" s="9">
        <f>E8*G8</f>
        <v/>
      </c>
      <c r="I8" s="5" t="inlineStr">
        <is>
          <t>3 sotto i contenitori, WB, troppopieno del bagno, ingresso, linea tank (quest'ultimo con portagomma 8 mm sopra)</t>
        </is>
      </c>
      <c r="J8" s="5" t="inlineStr">
        <is>
          <t>uno di scorta; guarnizione piana sopra e sotto il fondo del bagno</t>
        </is>
      </c>
    </row>
    <row r="9">
      <c r="A9" s="4" t="n">
        <v>5</v>
      </c>
      <c r="B9" s="5" t="inlineStr">
        <is>
          <t>Bagno</t>
        </is>
      </c>
      <c r="C9" s="6" t="inlineStr">
        <is>
          <t>Gommino passatubo in gomma per lamiera da 4 mm, foro Ø13, tubo Ø12</t>
        </is>
      </c>
      <c r="D9" s="5" t="inlineStr"/>
      <c r="E9" s="7" t="n">
        <v>2</v>
      </c>
      <c r="F9" s="4" t="inlineStr">
        <is>
          <t>pz</t>
        </is>
      </c>
      <c r="G9" s="8" t="n">
        <v>0.5</v>
      </c>
      <c r="H9" s="9">
        <f>E9*G9</f>
        <v/>
      </c>
      <c r="I9" s="5" t="inlineStr">
        <is>
          <t>troppopieno della tank nel fondo del bagno in PMMA (nel piano sotto il foro e' Ø20: il gommino fa tenuta solo sul PMMA)</t>
        </is>
      </c>
      <c r="J9" s="5" t="inlineStr">
        <is>
          <t>uno di scorta</t>
        </is>
      </c>
    </row>
    <row r="10">
      <c r="A10" s="4" t="n">
        <v>6</v>
      </c>
      <c r="B10" s="5" t="inlineStr">
        <is>
          <t>Bagno</t>
        </is>
      </c>
      <c r="C10" s="6" t="inlineStr">
        <is>
          <t>Guarnizione piana in EPDM 2 mm, telaio della finestra della testata</t>
        </is>
      </c>
      <c r="D10" s="5" t="inlineStr">
        <is>
          <t>ritagliata da un foglio 200 x 120 (DXF REF_guarnizione_finestra)</t>
        </is>
      </c>
      <c r="E10" s="7" t="n">
        <v>1</v>
      </c>
      <c r="F10" s="4" t="inlineStr">
        <is>
          <t>pz</t>
        </is>
      </c>
      <c r="G10" s="8" t="n">
        <v>4</v>
      </c>
      <c r="H10" s="9">
        <f>E10*G10</f>
        <v/>
      </c>
      <c r="I10" s="5" t="inlineStr">
        <is>
          <t>tra la testata della tank e la parete sinistra del bagno</t>
        </is>
      </c>
      <c r="J10" s="5" t="inlineStr"/>
    </row>
    <row r="11">
      <c r="A11" s="4" t="n">
        <v>7</v>
      </c>
      <c r="B11" s="5" t="inlineStr">
        <is>
          <t>Bagno</t>
        </is>
      </c>
      <c r="C11" s="6" t="inlineStr">
        <is>
          <t>Guarnizione piana in EPDM/silicone 1 mm, coperchietto del vano servo</t>
        </is>
      </c>
      <c r="D11" s="5" t="inlineStr">
        <is>
          <t>ritagliata da foglio</t>
        </is>
      </c>
      <c r="E11" s="7" t="n">
        <v>1</v>
      </c>
      <c r="F11" s="4" t="inlineStr">
        <is>
          <t>pz</t>
        </is>
      </c>
      <c r="G11" s="8" t="n">
        <v>1</v>
      </c>
      <c r="H11" s="9">
        <f>E11*G11</f>
        <v/>
      </c>
      <c r="I11" s="5" t="inlineStr">
        <is>
          <t>sotto il coperchietto B03 (il vano servo e' sott'acqua)</t>
        </is>
      </c>
      <c r="J11" s="5" t="inlineStr"/>
    </row>
    <row r="12">
      <c r="A12" s="4" t="n">
        <v>8</v>
      </c>
      <c r="B12" s="5" t="inlineStr">
        <is>
          <t>Bagno</t>
        </is>
      </c>
      <c r="C12" s="6" t="inlineStr">
        <is>
          <t>Dado basso inox + 2 guarnizioni piane in silicone, per il filetto delle cartucce</t>
        </is>
      </c>
      <c r="D12" s="5" t="inlineStr">
        <is>
          <t>una serie per riscaldatore; passo del filetto da leggere sulla cartuccia (foro Ø16,6 nella parete destra, da adattare)</t>
        </is>
      </c>
      <c r="E12" s="7" t="n">
        <v>2</v>
      </c>
      <c r="F12" s="4" t="inlineStr">
        <is>
          <t>serie</t>
        </is>
      </c>
      <c r="G12" s="8" t="n">
        <v>3</v>
      </c>
      <c r="H12" s="9">
        <f>E12*G12</f>
        <v/>
      </c>
      <c r="I12" s="5" t="inlineStr">
        <is>
          <t>passaggio dei riscaldatori nella parete destra del bagno</t>
        </is>
      </c>
      <c r="J12" s="5" t="inlineStr">
        <is>
          <t>i riscaldatori non devono mai lavorare a secco: il firmware li accende solo con il MIN del bagno bagnato</t>
        </is>
      </c>
    </row>
    <row r="13">
      <c r="A13" s="4" t="n">
        <v>9</v>
      </c>
      <c r="B13" s="5" t="inlineStr">
        <is>
          <t>Bagno</t>
        </is>
      </c>
      <c r="C13" s="6" t="inlineStr">
        <is>
          <t>Termostato bimetallico KSD301 normalmente chiuso, 60 °C, 10 A</t>
        </is>
      </c>
      <c r="D13" s="5" t="inlineStr"/>
      <c r="E13" s="7" t="n">
        <v>2</v>
      </c>
      <c r="F13" s="4" t="inlineStr">
        <is>
          <t>pz</t>
        </is>
      </c>
      <c r="G13" s="8" t="n">
        <v>1.5</v>
      </c>
      <c r="H13" s="9">
        <f>E13*G13</f>
        <v/>
      </c>
      <c r="I13" s="5" t="inlineStr">
        <is>
          <t>sicurezza, in serie a ogni riscaldatore</t>
        </is>
      </c>
      <c r="J13" s="5" t="inlineStr"/>
    </row>
    <row r="14">
      <c r="A14" s="4" t="n">
        <v>10</v>
      </c>
      <c r="B14" s="5" t="inlineStr">
        <is>
          <t>Bagno</t>
        </is>
      </c>
      <c r="C14" s="6" t="inlineStr">
        <is>
          <t>Pompetta di ricircolo sommergibile 12 V DC (2-3 W, 100-200 l/h) con ventose</t>
        </is>
      </c>
      <c r="D14" s="5" t="inlineStr">
        <is>
          <t>circa 30 x 24 x 42 mm</t>
        </is>
      </c>
      <c r="E14" s="7" t="n">
        <v>1</v>
      </c>
      <c r="F14" s="4" t="inlineStr">
        <is>
          <t>pz</t>
        </is>
      </c>
      <c r="G14" s="8" t="n">
        <v>6</v>
      </c>
      <c r="H14" s="9">
        <f>E14*G14</f>
        <v/>
      </c>
      <c r="I14" s="5" t="inlineStr">
        <is>
          <t>ricircolo dell'acqua del bagno (uscita SPARE OUT 2 della Mainboard, A7)</t>
        </is>
      </c>
      <c r="J14" s="5" t="inlineStr">
        <is>
          <t>bocca verso i riscaldatori</t>
        </is>
      </c>
    </row>
    <row r="15">
      <c r="A15" s="4" t="n">
        <v>11</v>
      </c>
      <c r="B15" s="5" t="inlineStr">
        <is>
          <t>Bagno</t>
        </is>
      </c>
      <c r="C15" s="6" t="inlineStr">
        <is>
          <t>Nastro biadesivo per esterni (tipo VHB) 19 mm</t>
        </is>
      </c>
      <c r="D15" s="5" t="inlineStr">
        <is>
          <t>rotolo corto</t>
        </is>
      </c>
      <c r="E15" s="7" t="n">
        <v>1</v>
      </c>
      <c r="F15" s="4" t="inlineStr">
        <is>
          <t>pz</t>
        </is>
      </c>
      <c r="G15" s="8" t="n">
        <v>3</v>
      </c>
      <c r="H15" s="9">
        <f>E15*G15</f>
        <v/>
      </c>
      <c r="I15" s="5" t="inlineStr">
        <is>
          <t>XKC-Y21 sui contenitori (MAX) e sulla parete posteriore del bagno (MIN/MAX)</t>
        </is>
      </c>
      <c r="J15" s="5" t="inlineStr"/>
    </row>
    <row r="16">
      <c r="A16" s="4" t="n">
        <v>12</v>
      </c>
      <c r="B16" s="5" t="inlineStr">
        <is>
          <t>Idraulica</t>
        </is>
      </c>
      <c r="C16" s="6" t="inlineStr">
        <is>
          <t>Tubo LLDPE 3/8" (9,52 x 6,35 mm) per osmosi inversa</t>
        </is>
      </c>
      <c r="D16" s="5" t="inlineStr">
        <is>
          <t>rotolo da 5 m (ne serve circa 1 m dentro la macchina)</t>
        </is>
      </c>
      <c r="E16" s="7" t="n">
        <v>1</v>
      </c>
      <c r="F16" s="4" t="inlineStr">
        <is>
          <t>pz</t>
        </is>
      </c>
      <c r="G16" s="8" t="n">
        <v>6</v>
      </c>
      <c r="H16" s="9">
        <f>E16*G16</f>
        <v/>
      </c>
      <c r="I16" s="5" t="inlineStr">
        <is>
          <t>linee WB, scarico, troppopieno, ingresso, spezzoni delle valvole e delle camere</t>
        </is>
      </c>
      <c r="J16" s="5" t="inlineStr"/>
    </row>
    <row r="17">
      <c r="A17" s="4" t="n">
        <v>13</v>
      </c>
      <c r="B17" s="5" t="inlineStr">
        <is>
          <t>Idraulica</t>
        </is>
      </c>
      <c r="C17" s="6" t="inlineStr">
        <is>
          <t>Elettrovalvola 12 V normalmente chiusa, 3/8" a innesto</t>
        </is>
      </c>
      <c r="D17" s="5" t="inlineStr">
        <is>
          <t>uguale alle cinque gia' acquistate</t>
        </is>
      </c>
      <c r="E17" s="7" t="n">
        <v>2</v>
      </c>
      <c r="F17" s="4" t="inlineStr">
        <is>
          <t>pz</t>
        </is>
      </c>
      <c r="G17" s="8" t="n">
        <v>7.59</v>
      </c>
      <c r="H17" s="9">
        <f>E17*G17</f>
        <v/>
      </c>
      <c r="I17" s="5" t="inlineStr">
        <is>
          <t>sesta valvola del collettore (RECUPERO, A6) e valvola dell'ingresso (A5)</t>
        </is>
      </c>
      <c r="J17" s="5" t="inlineStr">
        <is>
          <t>con la freccia verso il collettore (RECUPERO) e verso il bagno (ingresso)</t>
        </is>
      </c>
    </row>
    <row r="18">
      <c r="A18" s="4" t="n">
        <v>14</v>
      </c>
      <c r="B18" s="5" t="inlineStr">
        <is>
          <t>Idraulica</t>
        </is>
      </c>
      <c r="C18" s="6" t="inlineStr">
        <is>
          <t>Gomito a innesto rapido 3/8" - 3/8"</t>
        </is>
      </c>
      <c r="D18" s="5" t="inlineStr">
        <is>
          <t>per tubo da 9,52 mm</t>
        </is>
      </c>
      <c r="E18" s="7" t="n">
        <v>14</v>
      </c>
      <c r="F18" s="4" t="inlineStr">
        <is>
          <t>pz</t>
        </is>
      </c>
      <c r="G18" s="8" t="n">
        <v>0.7</v>
      </c>
      <c r="H18" s="9">
        <f>E18*G18</f>
        <v/>
      </c>
      <c r="I18" s="5" t="inlineStr">
        <is>
          <t>5 davanti alle valvole, 1 per WB, 1 per lo scarico, 1 per il troppopieno, 4 sull'ingresso</t>
        </is>
      </c>
      <c r="J18" s="5" t="inlineStr">
        <is>
          <t>2 di scorta</t>
        </is>
      </c>
    </row>
    <row r="19">
      <c r="A19" s="4" t="n">
        <v>15</v>
      </c>
      <c r="B19" s="5" t="inlineStr">
        <is>
          <t>Idraulica</t>
        </is>
      </c>
      <c r="C19" s="6" t="inlineStr">
        <is>
          <t>Gomito a codolo 3/8" (un lato a innesto, l'altro a codolo liscio da 9,52 mm)</t>
        </is>
      </c>
      <c r="D19" s="5" t="inlineStr">
        <is>
          <t>"stem elbow"</t>
        </is>
      </c>
      <c r="E19" s="7" t="n">
        <v>2</v>
      </c>
      <c r="F19" s="4" t="inlineStr">
        <is>
          <t>pz</t>
        </is>
      </c>
      <c r="G19" s="8" t="n">
        <v>1.5</v>
      </c>
      <c r="H19" s="9">
        <f>E19*G19</f>
        <v/>
      </c>
      <c r="I19" s="5" t="inlineStr">
        <is>
          <t>uscita del collettore C01 verso la pompa</t>
        </is>
      </c>
      <c r="J19" s="5" t="inlineStr">
        <is>
          <t>uno di scorta; codolo lungo almeno 22 mm dall'angolo</t>
        </is>
      </c>
    </row>
    <row r="20">
      <c r="A20" s="4" t="n">
        <v>16</v>
      </c>
      <c r="B20" s="5" t="inlineStr">
        <is>
          <t>Idraulica</t>
        </is>
      </c>
      <c r="C20" s="6" t="inlineStr">
        <is>
          <t>Adattatore innesto 3/8" (codolo liscio da 9,52) - portagomma 10 mm</t>
        </is>
      </c>
      <c r="D20" s="5" t="inlineStr"/>
      <c r="E20" s="7" t="n">
        <v>5</v>
      </c>
      <c r="F20" s="4" t="inlineStr">
        <is>
          <t>pz</t>
        </is>
      </c>
      <c r="G20" s="8" t="n">
        <v>1.5</v>
      </c>
      <c r="H20" s="9">
        <f>E20*G20</f>
        <v/>
      </c>
      <c r="I20" s="5" t="inlineStr">
        <is>
          <t>bocca laterale delle tre camere di livello, bocca della valvola RECUPERO</t>
        </is>
      </c>
      <c r="J20" s="5" t="inlineStr">
        <is>
          <t>uno di scorta</t>
        </is>
      </c>
    </row>
    <row r="21">
      <c r="A21" s="4" t="n">
        <v>17</v>
      </c>
      <c r="B21" s="5" t="inlineStr">
        <is>
          <t>Idraulica</t>
        </is>
      </c>
      <c r="C21" s="6" t="inlineStr">
        <is>
          <t>Adattatore innesto 3/8" - portagomma 6,4 mm</t>
        </is>
      </c>
      <c r="D21" s="5" t="inlineStr"/>
      <c r="E21" s="7" t="n">
        <v>3</v>
      </c>
      <c r="F21" s="4" t="inlineStr">
        <is>
          <t>pz</t>
        </is>
      </c>
      <c r="G21" s="8" t="n">
        <v>1.5</v>
      </c>
      <c r="H21" s="9">
        <f>E21*G21</f>
        <v/>
      </c>
      <c r="I21" s="5" t="inlineStr">
        <is>
          <t>gomito del collettore e raccordo sotto il passaparete della tank: da qui parte il silicone della Kamoer</t>
        </is>
      </c>
      <c r="J21" s="5" t="inlineStr">
        <is>
          <t>uno di scorta</t>
        </is>
      </c>
    </row>
    <row r="22">
      <c r="A22" s="4" t="n">
        <v>18</v>
      </c>
      <c r="B22" s="5" t="inlineStr">
        <is>
          <t>Idraulica</t>
        </is>
      </c>
      <c r="C22" s="6" t="inlineStr">
        <is>
          <t>Raccordo diritto: filetto FEMMINA 1/2" - tubo 3/8" a innesto</t>
        </is>
      </c>
      <c r="D22" s="5" t="inlineStr"/>
      <c r="E22" s="7" t="n">
        <v>2</v>
      </c>
      <c r="F22" s="4" t="inlineStr">
        <is>
          <t>pz</t>
        </is>
      </c>
      <c r="G22" s="8" t="n">
        <v>1.5</v>
      </c>
      <c r="H22" s="9">
        <f>E22*G22</f>
        <v/>
      </c>
      <c r="I22" s="5" t="inlineStr">
        <is>
          <t>attacchi del flussimetro YF-S201</t>
        </is>
      </c>
      <c r="J22" s="5" t="inlineStr">
        <is>
          <t>con nastro in PTFE</t>
        </is>
      </c>
    </row>
    <row r="23">
      <c r="A23" s="4" t="n">
        <v>19</v>
      </c>
      <c r="B23" s="5" t="inlineStr">
        <is>
          <t>Idraulica</t>
        </is>
      </c>
      <c r="C23" s="6" t="inlineStr">
        <is>
          <t>Passaparete a innesto rapido 3/8" - 3/8"</t>
        </is>
      </c>
      <c r="D23" s="5" t="inlineStr">
        <is>
          <t>foro Ø16</t>
        </is>
      </c>
      <c r="E23" s="7" t="n">
        <v>4</v>
      </c>
      <c r="F23" s="4" t="inlineStr">
        <is>
          <t>pz</t>
        </is>
      </c>
      <c r="G23" s="8" t="n">
        <v>2</v>
      </c>
      <c r="H23" s="9">
        <f>E23*G23</f>
        <v/>
      </c>
      <c r="I23" s="5" t="inlineStr">
        <is>
          <t>attacchi sul pannello posteriore: SCARICO, TROPPOPIENO tank, TROPPOPIENO bagno, INGRESSO</t>
        </is>
      </c>
      <c r="J23" s="5" t="inlineStr"/>
    </row>
    <row r="24">
      <c r="A24" s="4" t="n">
        <v>20</v>
      </c>
      <c r="B24" s="5" t="inlineStr">
        <is>
          <t>Idraulica</t>
        </is>
      </c>
      <c r="C24" s="6" t="inlineStr">
        <is>
          <t>Passaparete portagomma 10 - portagomma 10</t>
        </is>
      </c>
      <c r="D24" s="5" t="inlineStr">
        <is>
          <t>foro Ø13</t>
        </is>
      </c>
      <c r="E24" s="7" t="n">
        <v>1</v>
      </c>
      <c r="F24" s="4" t="inlineStr">
        <is>
          <t>pz</t>
        </is>
      </c>
      <c r="G24" s="8" t="n">
        <v>2</v>
      </c>
      <c r="H24" s="9">
        <f>E24*G24</f>
        <v/>
      </c>
      <c r="I24" s="5" t="inlineStr">
        <is>
          <t>uscita RECUPERO sul pannello frontale</t>
        </is>
      </c>
      <c r="J24" s="5" t="inlineStr">
        <is>
          <t>con un gomito o un tubo verso il basso: la bottiglia sta sotto</t>
        </is>
      </c>
    </row>
    <row r="25">
      <c r="A25" s="4" t="n">
        <v>21</v>
      </c>
      <c r="B25" s="5" t="inlineStr">
        <is>
          <t>Idraulica</t>
        </is>
      </c>
      <c r="C25" s="6" t="inlineStr">
        <is>
          <t>Rubinetto a margherita in PP con portagomma 10 mm da entrambi i lati</t>
        </is>
      </c>
      <c r="D25" s="5" t="inlineStr">
        <is>
          <t>da pannello, foro Ø21</t>
        </is>
      </c>
      <c r="E25" s="7" t="n">
        <v>3</v>
      </c>
      <c r="F25" s="4" t="inlineStr">
        <is>
          <t>pz</t>
        </is>
      </c>
      <c r="G25" s="8" t="n">
        <v>3</v>
      </c>
      <c r="H25" s="9">
        <f>E25*G25</f>
        <v/>
      </c>
      <c r="I25" s="5" t="inlineStr">
        <is>
          <t>svuotamento manuale di C1, C2, C3 (sotto ogni contenitore)</t>
        </is>
      </c>
      <c r="J25" s="5" t="inlineStr">
        <is>
          <t>normalmente chiusi</t>
        </is>
      </c>
    </row>
    <row r="26">
      <c r="A26" s="4" t="n">
        <v>22</v>
      </c>
      <c r="B26" s="5" t="inlineStr">
        <is>
          <t>Idraulica</t>
        </is>
      </c>
      <c r="C26" s="6" t="inlineStr">
        <is>
          <t>Adattatore per rubinetto con valvolina, uscita tubo 3/8" (kit per osmosi inversa)</t>
        </is>
      </c>
      <c r="D26" s="5" t="inlineStr">
        <is>
          <t>filetto 1/2" o 3/4" secondo il rubinetto</t>
        </is>
      </c>
      <c r="E26" s="7" t="n">
        <v>1</v>
      </c>
      <c r="F26" s="4" t="inlineStr">
        <is>
          <t>pz</t>
        </is>
      </c>
      <c r="G26" s="8" t="n">
        <v>5</v>
      </c>
      <c r="H26" s="9">
        <f>E26*G26</f>
        <v/>
      </c>
      <c r="I26" s="5" t="inlineStr">
        <is>
          <t>collegamento dell'INGRESSO al rubinetto dell'acqua</t>
        </is>
      </c>
      <c r="J26" s="5" t="inlineStr">
        <is>
          <t>pressione di rete massima 0,8 MPa</t>
        </is>
      </c>
    </row>
    <row r="27">
      <c r="A27" s="4" t="n">
        <v>23</v>
      </c>
      <c r="B27" s="5" t="inlineStr">
        <is>
          <t>Idraulica</t>
        </is>
      </c>
      <c r="C27" s="6" t="inlineStr">
        <is>
          <t>Tubo in silicone 8 x 12 mm, NERO</t>
        </is>
      </c>
      <c r="D27" s="5" t="inlineStr">
        <is>
          <t>2 m</t>
        </is>
      </c>
      <c r="E27" s="7" t="n">
        <v>1</v>
      </c>
      <c r="F27" s="4" t="inlineStr">
        <is>
          <t>pz</t>
        </is>
      </c>
      <c r="G27" s="8" t="n">
        <v>7</v>
      </c>
      <c r="H27" s="9">
        <f>E27*G27</f>
        <v/>
      </c>
      <c r="I27" s="5" t="inlineStr">
        <is>
          <t>linea della tank, troppopieno della tank, rubinetti, recupero</t>
        </is>
      </c>
      <c r="J27" s="5" t="inlineStr">
        <is>
          <t>nero: il tubo della tank non deve far passare la luce</t>
        </is>
      </c>
    </row>
    <row r="28">
      <c r="A28" s="4" t="n">
        <v>24</v>
      </c>
      <c r="B28" s="5" t="inlineStr">
        <is>
          <t>Idraulica</t>
        </is>
      </c>
      <c r="C28" s="6" t="inlineStr">
        <is>
          <t>Tubo in silicone 6 x 10 mm (o PharMed 6,4 x 9,6)</t>
        </is>
      </c>
      <c r="D28" s="5" t="inlineStr">
        <is>
          <t>1 m</t>
        </is>
      </c>
      <c r="E28" s="7" t="n">
        <v>1</v>
      </c>
      <c r="F28" s="4" t="inlineStr">
        <is>
          <t>pz</t>
        </is>
      </c>
      <c r="G28" s="8" t="n">
        <v>5</v>
      </c>
      <c r="H28" s="9">
        <f>E28*G28</f>
        <v/>
      </c>
      <c r="I28" s="5" t="inlineStr">
        <is>
          <t>Kamoer: dal collettore alla bocca A, dalla bocca B al passaparete della tank</t>
        </is>
      </c>
      <c r="J28" s="5" t="inlineStr"/>
    </row>
    <row r="29">
      <c r="A29" s="4" t="n">
        <v>25</v>
      </c>
      <c r="B29" s="5" t="inlineStr">
        <is>
          <t>Idraulica</t>
        </is>
      </c>
      <c r="C29" s="6" t="inlineStr">
        <is>
          <t>O-ring 9 x 2 in EPDM</t>
        </is>
      </c>
      <c r="D29" s="5" t="inlineStr"/>
      <c r="E29" s="7" t="n">
        <v>20</v>
      </c>
      <c r="F29" s="4" t="inlineStr">
        <is>
          <t>pz</t>
        </is>
      </c>
      <c r="G29" s="8" t="n">
        <v>0.15</v>
      </c>
      <c r="H29" s="9">
        <f>E29*G29</f>
        <v/>
      </c>
      <c r="I29" s="5" t="inlineStr">
        <is>
          <t>7 sedi del collettore C01, 9 delle camere C03</t>
        </is>
      </c>
      <c r="J29" s="5" t="inlineStr">
        <is>
          <t>4 di scorta</t>
        </is>
      </c>
    </row>
    <row r="30">
      <c r="A30" s="4" t="n">
        <v>26</v>
      </c>
      <c r="B30" s="5" t="inlineStr">
        <is>
          <t>Idraulica</t>
        </is>
      </c>
      <c r="C30" s="6" t="inlineStr">
        <is>
          <t>Fascette in nylon 2,5 x 100 mm</t>
        </is>
      </c>
      <c r="D30" s="5" t="inlineStr">
        <is>
          <t>confezione da 100</t>
        </is>
      </c>
      <c r="E30" s="7" t="n">
        <v>1</v>
      </c>
      <c r="F30" s="4" t="inlineStr">
        <is>
          <t>conf</t>
        </is>
      </c>
      <c r="G30" s="8" t="n">
        <v>3</v>
      </c>
      <c r="H30" s="9">
        <f>E30*G30</f>
        <v/>
      </c>
      <c r="I30" s="5" t="inlineStr">
        <is>
          <t>valvole nelle culle, sensori, cavi</t>
        </is>
      </c>
      <c r="J30" s="5" t="inlineStr"/>
    </row>
    <row r="31">
      <c r="A31" s="4" t="n">
        <v>27</v>
      </c>
      <c r="B31" s="5" t="inlineStr">
        <is>
          <t>Idraulica</t>
        </is>
      </c>
      <c r="C31" s="6" t="inlineStr">
        <is>
          <t>Fascette in nylon 4,8 x 200 mm</t>
        </is>
      </c>
      <c r="D31" s="5" t="inlineStr">
        <is>
          <t>confezione da 50</t>
        </is>
      </c>
      <c r="E31" s="7" t="n">
        <v>1</v>
      </c>
      <c r="F31" s="4" t="inlineStr">
        <is>
          <t>conf</t>
        </is>
      </c>
      <c r="G31" s="8" t="n">
        <v>3</v>
      </c>
      <c r="H31" s="9">
        <f>E31*G31</f>
        <v/>
      </c>
      <c r="I31" s="5" t="inlineStr">
        <is>
          <t>flussimetro, valvola dell'ingresso, Kamoer nelle culle</t>
        </is>
      </c>
      <c r="J31" s="5" t="inlineStr"/>
    </row>
    <row r="32">
      <c r="A32" s="4" t="n">
        <v>28</v>
      </c>
      <c r="B32" s="5" t="inlineStr">
        <is>
          <t>Idraulica</t>
        </is>
      </c>
      <c r="C32" s="6" t="inlineStr">
        <is>
          <t>Grasso al silicone per O-ring</t>
        </is>
      </c>
      <c r="D32" s="5" t="inlineStr">
        <is>
          <t>tubetto</t>
        </is>
      </c>
      <c r="E32" s="7" t="n">
        <v>1</v>
      </c>
      <c r="F32" s="4" t="inlineStr">
        <is>
          <t>pz</t>
        </is>
      </c>
      <c r="G32" s="8" t="n">
        <v>5</v>
      </c>
      <c r="H32" s="9">
        <f>E32*G32</f>
        <v/>
      </c>
      <c r="I32" s="5" t="inlineStr">
        <is>
          <t>O-ring, codoli degli innesti, baionetta della spirale</t>
        </is>
      </c>
      <c r="J32" s="5" t="inlineStr"/>
    </row>
    <row r="33">
      <c r="A33" s="4" t="n">
        <v>29</v>
      </c>
      <c r="B33" s="5" t="inlineStr">
        <is>
          <t>Tank e trasmissione</t>
        </is>
      </c>
      <c r="C33" s="6" t="inlineStr">
        <is>
          <t>Perno in acciaio inox Ø6 x 22 mm</t>
        </is>
      </c>
      <c r="D33" s="5" t="inlineStr">
        <is>
          <t>barra rettificata h6</t>
        </is>
      </c>
      <c r="E33" s="7" t="n">
        <v>1</v>
      </c>
      <c r="F33" s="4" t="inlineStr">
        <is>
          <t>pz</t>
        </is>
      </c>
      <c r="G33" s="8" t="n">
        <v>2</v>
      </c>
      <c r="H33" s="9">
        <f>E33*G33</f>
        <v/>
      </c>
      <c r="I33" s="5" t="inlineStr">
        <is>
          <t>perno del mozzo magnetico, incollato (epossidica) nel boss della testata</t>
        </is>
      </c>
      <c r="J33" s="5" t="inlineStr"/>
    </row>
    <row r="34">
      <c r="A34" s="4" t="n">
        <v>30</v>
      </c>
      <c r="B34" s="5" t="inlineStr">
        <is>
          <t>Tank e trasmissione</t>
        </is>
      </c>
      <c r="C34" s="6" t="inlineStr">
        <is>
          <t>Rondella di spinta in PTFE Ø24 x Ø13 x 1</t>
        </is>
      </c>
      <c r="D34" s="5" t="inlineStr"/>
      <c r="E34" s="7" t="n">
        <v>2</v>
      </c>
      <c r="F34" s="4" t="inlineStr">
        <is>
          <t>pz</t>
        </is>
      </c>
      <c r="G34" s="8" t="n">
        <v>0.5</v>
      </c>
      <c r="H34" s="9">
        <f>E34*G34</f>
        <v/>
      </c>
      <c r="I34" s="5" t="inlineStr">
        <is>
          <t>tra la flangia del mozzo e la testata</t>
        </is>
      </c>
      <c r="J34" s="5" t="inlineStr">
        <is>
          <t>una di scorta</t>
        </is>
      </c>
    </row>
    <row r="35">
      <c r="A35" s="4" t="n">
        <v>31</v>
      </c>
      <c r="B35" s="5" t="inlineStr">
        <is>
          <t>Tank e trasmissione</t>
        </is>
      </c>
      <c r="C35" s="6" t="inlineStr">
        <is>
          <t>Magneti al neodimio N52 Ø8 x 3</t>
        </is>
      </c>
      <c r="D35" s="5" t="inlineStr">
        <is>
          <t>confezione da 20 (ne servono 12)</t>
        </is>
      </c>
      <c r="E35" s="7" t="n">
        <v>1</v>
      </c>
      <c r="F35" s="4" t="inlineStr">
        <is>
          <t>conf</t>
        </is>
      </c>
      <c r="G35" s="8" t="n">
        <v>6</v>
      </c>
      <c r="H35" s="9">
        <f>E35*G35</f>
        <v/>
      </c>
      <c r="I35" s="5" t="inlineStr">
        <is>
          <t>6 nel mozzo B16, 6 nel disco B18 (r = 14): poli ALTERNATI, il disco speculare al mozzo</t>
        </is>
      </c>
      <c r="J35" s="5" t="inlineStr">
        <is>
          <t>coppia stimata 0,12 N m; se slitta avvolgendo, Ø10 x 3</t>
        </is>
      </c>
    </row>
    <row r="36">
      <c r="A36" s="4" t="n">
        <v>32</v>
      </c>
      <c r="B36" s="5" t="inlineStr">
        <is>
          <t>Tank e trasmissione</t>
        </is>
      </c>
      <c r="C36" s="6" t="inlineStr">
        <is>
          <t>Magneti al neodimio Ø5 x 2</t>
        </is>
      </c>
      <c r="D36" s="5" t="inlineStr">
        <is>
          <t>confezione da 10 (ne servono 4)</t>
        </is>
      </c>
      <c r="E36" s="7" t="n">
        <v>1</v>
      </c>
      <c r="F36" s="4" t="inlineStr">
        <is>
          <t>conf</t>
        </is>
      </c>
      <c r="G36" s="8" t="n">
        <v>3</v>
      </c>
      <c r="H36" s="9">
        <f>E36*G36</f>
        <v/>
      </c>
      <c r="I36" s="5" t="inlineStr">
        <is>
          <t>indicatori sul mozzo (r = 23,5) per il sensore Hall</t>
        </is>
      </c>
      <c r="J36" s="5" t="inlineStr">
        <is>
          <t>tutti col polo SUD verso la testata (l'A3144 commuta col sud)</t>
        </is>
      </c>
    </row>
    <row r="37">
      <c r="A37" s="4" t="n">
        <v>33</v>
      </c>
      <c r="B37" s="5" t="inlineStr">
        <is>
          <t>Tank e trasmissione</t>
        </is>
      </c>
      <c r="C37" s="6" t="inlineStr">
        <is>
          <t>Resina epossidica bicomponente</t>
        </is>
      </c>
      <c r="D37" s="5" t="inlineStr">
        <is>
          <t>tubetto</t>
        </is>
      </c>
      <c r="E37" s="7" t="n">
        <v>1</v>
      </c>
      <c r="F37" s="4" t="inlineStr">
        <is>
          <t>pz</t>
        </is>
      </c>
      <c r="G37" s="8" t="n">
        <v>5</v>
      </c>
      <c r="H37" s="9">
        <f>E37*G37</f>
        <v/>
      </c>
      <c r="I37" s="5" t="inlineStr">
        <is>
          <t>incollaggio dei magneti e dei tappi B17/B19 (incapsulamento), del perno</t>
        </is>
      </c>
      <c r="J37" s="5" t="inlineStr">
        <is>
          <t>la chimica non deve raggiungere i magneti</t>
        </is>
      </c>
    </row>
    <row r="38">
      <c r="A38" s="4" t="n">
        <v>34</v>
      </c>
      <c r="B38" s="5" t="inlineStr">
        <is>
          <t>Tank e trasmissione</t>
        </is>
      </c>
      <c r="C38" s="6" t="inlineStr">
        <is>
          <t>Molla a compressione Ø6 x 22 mm, filo 0,5</t>
        </is>
      </c>
      <c r="D38" s="5" t="inlineStr"/>
      <c r="E38" s="7" t="n">
        <v>1</v>
      </c>
      <c r="F38" s="4" t="inlineStr">
        <is>
          <t>pz</t>
        </is>
      </c>
      <c r="G38" s="8" t="n">
        <v>1</v>
      </c>
      <c r="H38" s="9">
        <f>E38*G38</f>
        <v/>
      </c>
      <c r="I38" s="5" t="inlineStr">
        <is>
          <t>perno folle a molla</t>
        </is>
      </c>
      <c r="J38" s="5" t="inlineStr"/>
    </row>
    <row r="39">
      <c r="A39" s="4" t="n">
        <v>35</v>
      </c>
      <c r="B39" s="5" t="inlineStr">
        <is>
          <t>Tank e trasmissione</t>
        </is>
      </c>
      <c r="C39" s="6" t="inlineStr">
        <is>
          <t>Vite M3 x 10 a testa zigrinata (vite a mano)</t>
        </is>
      </c>
      <c r="D39" s="5" t="inlineStr"/>
      <c r="E39" s="7" t="n">
        <v>2</v>
      </c>
      <c r="F39" s="4" t="inlineStr">
        <is>
          <t>pz</t>
        </is>
      </c>
      <c r="G39" s="8" t="n">
        <v>0.5</v>
      </c>
      <c r="H39" s="9">
        <f>E39*G39</f>
        <v/>
      </c>
      <c r="I39" s="5" t="inlineStr">
        <is>
          <t>blocco delle due slitte della guida B14/B15</t>
        </is>
      </c>
      <c r="J39" s="5" t="inlineStr"/>
    </row>
    <row r="40">
      <c r="A40" s="4" t="n">
        <v>36</v>
      </c>
      <c r="B40" s="5" t="inlineStr">
        <is>
          <t>Tank e trasmissione</t>
        </is>
      </c>
      <c r="C40" s="6" t="inlineStr">
        <is>
          <t>Fascetta della Lab-Box, gia' fatta</t>
        </is>
      </c>
      <c r="D40" s="5" t="inlineStr">
        <is>
          <t>ricambio Ars-Imago</t>
        </is>
      </c>
      <c r="E40" s="7" t="n">
        <v>1</v>
      </c>
      <c r="F40" s="4" t="inlineStr">
        <is>
          <t>pz</t>
        </is>
      </c>
      <c r="G40" s="8" t="n"/>
      <c r="H40" s="9">
        <f>E40*G40</f>
        <v/>
      </c>
      <c r="I40" s="5" t="inlineStr">
        <is>
          <t>passa nel tubo A03 tra i due collarini</t>
        </is>
      </c>
      <c r="J40" s="5" t="inlineStr">
        <is>
          <t>prezzo da verificare</t>
        </is>
      </c>
    </row>
    <row r="41">
      <c r="A41" s="4" t="n">
        <v>37</v>
      </c>
      <c r="B41" s="5" t="inlineStr">
        <is>
          <t>Tank e trasmissione</t>
        </is>
      </c>
      <c r="C41" s="6" t="inlineStr">
        <is>
          <t>Micro-servo MG90S</t>
        </is>
      </c>
      <c r="D41" s="5" t="inlineStr">
        <is>
          <t>con squadretta a un braccio</t>
        </is>
      </c>
      <c r="E41" s="7" t="n">
        <v>1</v>
      </c>
      <c r="F41" s="4" t="inlineStr">
        <is>
          <t>pz</t>
        </is>
      </c>
      <c r="G41" s="8" t="n">
        <v>4</v>
      </c>
      <c r="H41" s="9">
        <f>E41*G41</f>
        <v/>
      </c>
      <c r="I41" s="5" t="inlineStr">
        <is>
          <t>taglierina</t>
        </is>
      </c>
      <c r="J41" s="5" t="inlineStr"/>
    </row>
    <row r="42">
      <c r="A42" s="4" t="n">
        <v>38</v>
      </c>
      <c r="B42" s="5" t="inlineStr">
        <is>
          <t>Tank e trasmissione</t>
        </is>
      </c>
      <c r="C42" s="6" t="inlineStr">
        <is>
          <t>Lame di ricambio per cutter da 9 mm</t>
        </is>
      </c>
      <c r="D42" s="5" t="inlineStr">
        <is>
          <t>confezione da 10</t>
        </is>
      </c>
      <c r="E42" s="7" t="n">
        <v>1</v>
      </c>
      <c r="F42" s="4" t="inlineStr">
        <is>
          <t>conf</t>
        </is>
      </c>
      <c r="G42" s="8" t="n">
        <v>2</v>
      </c>
      <c r="H42" s="9">
        <f>E42*G42</f>
        <v/>
      </c>
      <c r="I42" s="5" t="inlineStr">
        <is>
          <t>due spezzoni da 36 mm nella taglierina</t>
        </is>
      </c>
      <c r="J42" s="5" t="inlineStr"/>
    </row>
    <row r="43">
      <c r="A43" s="4" t="n">
        <v>39</v>
      </c>
      <c r="B43" s="5" t="inlineStr">
        <is>
          <t>Tank e trasmissione</t>
        </is>
      </c>
      <c r="C43" s="6" t="inlineStr">
        <is>
          <t>Passacavo in gomma per foro Ø6,4, cavo Ø3</t>
        </is>
      </c>
      <c r="D43" s="5" t="inlineStr"/>
      <c r="E43" s="7" t="n">
        <v>2</v>
      </c>
      <c r="F43" s="4" t="inlineStr">
        <is>
          <t>pz</t>
        </is>
      </c>
      <c r="G43" s="8" t="n">
        <v>0.3</v>
      </c>
      <c r="H43" s="9">
        <f>E43*G43</f>
        <v/>
      </c>
      <c r="I43" s="5" t="inlineStr">
        <is>
          <t>cavo del servo attraverso la testata (nel vano asciutto)</t>
        </is>
      </c>
      <c r="J43" s="5" t="inlineStr">
        <is>
          <t>sigillare con silicone: tenuta alla luce</t>
        </is>
      </c>
    </row>
    <row r="44">
      <c r="A44" s="4" t="n">
        <v>40</v>
      </c>
      <c r="B44" s="5" t="inlineStr">
        <is>
          <t>Elettrico</t>
        </is>
      </c>
      <c r="C44" s="6" t="inlineStr">
        <is>
          <t>Presa IEC C14 da pannello con interruttore e portafusibile</t>
        </is>
      </c>
      <c r="D44" s="5" t="inlineStr">
        <is>
          <t>foro 27,5 x 47,5 mm</t>
        </is>
      </c>
      <c r="E44" s="7" t="n">
        <v>1</v>
      </c>
      <c r="F44" s="4" t="inlineStr">
        <is>
          <t>pz</t>
        </is>
      </c>
      <c r="G44" s="8" t="n">
        <v>4</v>
      </c>
      <c r="H44" s="9">
        <f>E44*G44</f>
        <v/>
      </c>
      <c r="I44" s="5" t="inlineStr">
        <is>
          <t>pannello posteriore, a destra</t>
        </is>
      </c>
      <c r="J44" s="5" t="inlineStr"/>
    </row>
    <row r="45">
      <c r="A45" s="4" t="n">
        <v>41</v>
      </c>
      <c r="B45" s="5" t="inlineStr">
        <is>
          <t>Elettrico</t>
        </is>
      </c>
      <c r="C45" s="6" t="inlineStr">
        <is>
          <t>Cavo di alimentazione con spina e connettore IEC C13</t>
        </is>
      </c>
      <c r="D45" s="5" t="inlineStr"/>
      <c r="E45" s="7" t="n">
        <v>1</v>
      </c>
      <c r="F45" s="4" t="inlineStr">
        <is>
          <t>pz</t>
        </is>
      </c>
      <c r="G45" s="8" t="n">
        <v>4</v>
      </c>
      <c r="H45" s="9">
        <f>E45*G45</f>
        <v/>
      </c>
      <c r="I45" s="5" t="inlineStr"/>
      <c r="J45" s="5" t="inlineStr"/>
    </row>
    <row r="46">
      <c r="A46" s="4" t="n">
        <v>42</v>
      </c>
      <c r="B46" s="5" t="inlineStr">
        <is>
          <t>Elettrico</t>
        </is>
      </c>
      <c r="C46" s="6" t="inlineStr">
        <is>
          <t>Cavo unipolare 1,5 mm2 rosso e nero</t>
        </is>
      </c>
      <c r="D46" s="5" t="inlineStr">
        <is>
          <t>5 m + 5 m</t>
        </is>
      </c>
      <c r="E46" s="7" t="n">
        <v>1</v>
      </c>
      <c r="F46" s="4" t="inlineStr">
        <is>
          <t>serie</t>
        </is>
      </c>
      <c r="G46" s="8" t="n">
        <v>8</v>
      </c>
      <c r="H46" s="9">
        <f>E46*G46</f>
        <v/>
      </c>
      <c r="I46" s="5" t="inlineStr">
        <is>
          <t>12 V dall'alimentatore ai tre ingressi della Mainboard, riscaldatori</t>
        </is>
      </c>
      <c r="J46" s="5" t="inlineStr"/>
    </row>
    <row r="47">
      <c r="A47" s="4" t="n">
        <v>43</v>
      </c>
      <c r="B47" s="5" t="inlineStr">
        <is>
          <t>Elettrico</t>
        </is>
      </c>
      <c r="C47" s="6" t="inlineStr">
        <is>
          <t>Cavetti per segnali, puntalini, connettori JST-XH</t>
        </is>
      </c>
      <c r="D47" s="5" t="inlineStr">
        <is>
          <t>assortimento</t>
        </is>
      </c>
      <c r="E47" s="7" t="n">
        <v>1</v>
      </c>
      <c r="F47" s="4" t="inlineStr">
        <is>
          <t>serie</t>
        </is>
      </c>
      <c r="G47" s="8" t="n">
        <v>5</v>
      </c>
      <c r="H47" s="9">
        <f>E47*G47</f>
        <v/>
      </c>
      <c r="I47" s="5" t="inlineStr">
        <is>
          <t>sensori, valvole, servo, Hall, pompetta</t>
        </is>
      </c>
      <c r="J47" s="5" t="inlineStr"/>
    </row>
    <row r="48">
      <c r="A48" s="4" t="n">
        <v>44</v>
      </c>
      <c r="B48" s="5" t="inlineStr">
        <is>
          <t>Elettrico</t>
        </is>
      </c>
      <c r="C48" s="6" t="inlineStr">
        <is>
          <t>Passacavo in gomma Ø22</t>
        </is>
      </c>
      <c r="D48" s="5" t="inlineStr"/>
      <c r="E48" s="7" t="n">
        <v>3</v>
      </c>
      <c r="F48" s="4" t="inlineStr">
        <is>
          <t>pz</t>
        </is>
      </c>
      <c r="G48" s="8" t="n">
        <v>0.5</v>
      </c>
      <c r="H48" s="9">
        <f>E48*G48</f>
        <v/>
      </c>
      <c r="I48" s="5" t="inlineStr">
        <is>
          <t>piano: vano motore, intercapedine destra (riscaldatori), cavi del bagno</t>
        </is>
      </c>
      <c r="J48" s="5" t="inlineStr"/>
    </row>
    <row r="49">
      <c r="A49" s="4" t="n">
        <v>45</v>
      </c>
      <c r="B49" s="5" t="inlineStr">
        <is>
          <t>Struttura e viteria</t>
        </is>
      </c>
      <c r="C49" s="6" t="inlineStr">
        <is>
          <t>Multistrato 526 x 232 x 12 mm</t>
        </is>
      </c>
      <c r="D49" s="5" t="inlineStr">
        <is>
          <t>2 pezzi (base e piano); il piano con i fori della dima e gli angoli tagliati</t>
        </is>
      </c>
      <c r="E49" s="7" t="n">
        <v>2</v>
      </c>
      <c r="F49" s="4" t="inlineStr">
        <is>
          <t>pz</t>
        </is>
      </c>
      <c r="G49" s="8" t="n">
        <v>8</v>
      </c>
      <c r="H49" s="9">
        <f>E49*G49</f>
        <v/>
      </c>
      <c r="I49" s="5" t="inlineStr">
        <is>
          <t>base della macchina e piano del piedistallo (il bagno ci appoggia sopra)</t>
        </is>
      </c>
      <c r="J49" s="5" t="inlineStr">
        <is>
          <t>impregnare o verniciare: il piano sta sotto il bagno</t>
        </is>
      </c>
    </row>
    <row r="50">
      <c r="A50" s="4" t="n">
        <v>46</v>
      </c>
      <c r="B50" s="5" t="inlineStr">
        <is>
          <t>Struttura e viteria</t>
        </is>
      </c>
      <c r="C50" s="6" t="inlineStr">
        <is>
          <t>Pannelli in Dibond (composito di alluminio) 3 mm tagliati a misura</t>
        </is>
      </c>
      <c r="D50" s="5" t="inlineStr">
        <is>
          <t>5 pezzi (frontale a U, posteriore, sinistro, destro, copertura): misure e fori nel foglio Pannelli e nei DXF</t>
        </is>
      </c>
      <c r="E50" s="7" t="n">
        <v>1</v>
      </c>
      <c r="F50" s="4" t="inlineStr">
        <is>
          <t>serie</t>
        </is>
      </c>
      <c r="G50" s="8" t="n">
        <v>45</v>
      </c>
      <c r="H50" s="9">
        <f>E50*G50</f>
        <v/>
      </c>
      <c r="I50" s="5" t="inlineStr">
        <is>
          <t>guscio</t>
        </is>
      </c>
      <c r="J50" s="5" t="inlineStr"/>
    </row>
    <row r="51">
      <c r="A51" s="4" t="n">
        <v>47</v>
      </c>
      <c r="B51" s="5" t="inlineStr">
        <is>
          <t>Struttura e viteria</t>
        </is>
      </c>
      <c r="C51" s="6" t="inlineStr">
        <is>
          <t>Piedini in gomma Ø20</t>
        </is>
      </c>
      <c r="D51" s="5" t="inlineStr"/>
      <c r="E51" s="7" t="n">
        <v>4</v>
      </c>
      <c r="F51" s="4" t="inlineStr">
        <is>
          <t>pz</t>
        </is>
      </c>
      <c r="G51" s="8" t="n">
        <v>0.5</v>
      </c>
      <c r="H51" s="9">
        <f>E51*G51</f>
        <v/>
      </c>
      <c r="I51" s="5" t="inlineStr">
        <is>
          <t>sotto la base</t>
        </is>
      </c>
      <c r="J51" s="5" t="inlineStr"/>
    </row>
    <row r="52">
      <c r="A52" s="4" t="n">
        <v>48</v>
      </c>
      <c r="B52" s="5" t="inlineStr">
        <is>
          <t>Struttura e viteria</t>
        </is>
      </c>
      <c r="C52" s="6" t="inlineStr">
        <is>
          <t>Viti da legno 3,5 x 16 a testa svasata NERE</t>
        </is>
      </c>
      <c r="D52" s="5" t="inlineStr">
        <is>
          <t>confezione da 20 (ne servono 12)</t>
        </is>
      </c>
      <c r="E52" s="7" t="n">
        <v>1</v>
      </c>
      <c r="F52" s="4" t="inlineStr">
        <is>
          <t>conf</t>
        </is>
      </c>
      <c r="G52" s="8" t="n">
        <v>3</v>
      </c>
      <c r="H52" s="9">
        <f>E52*G52</f>
        <v/>
      </c>
      <c r="I52" s="5" t="inlineStr">
        <is>
          <t>pannelli del guscio nel bordo della base</t>
        </is>
      </c>
      <c r="J52" s="5" t="inlineStr"/>
    </row>
    <row r="53">
      <c r="A53" s="4" t="n">
        <v>49</v>
      </c>
      <c r="B53" s="5" t="inlineStr">
        <is>
          <t>Struttura e viteria</t>
        </is>
      </c>
      <c r="C53" s="6" t="inlineStr">
        <is>
          <t>Viti da legno 3,5 x 12 a testa cilindrica</t>
        </is>
      </c>
      <c r="D53" s="5" t="inlineStr">
        <is>
          <t>confezione da 50 (ne servono circa 30)</t>
        </is>
      </c>
      <c r="E53" s="7" t="n">
        <v>1</v>
      </c>
      <c r="F53" s="4" t="inlineStr">
        <is>
          <t>conf</t>
        </is>
      </c>
      <c r="G53" s="8" t="n">
        <v>3</v>
      </c>
      <c r="H53" s="9">
        <f>E53*G53</f>
        <v/>
      </c>
      <c r="I53" s="5" t="inlineStr">
        <is>
          <t>tutti i pezzi fissati alla base (dima) e al piano</t>
        </is>
      </c>
      <c r="J53" s="5" t="inlineStr"/>
    </row>
    <row r="54">
      <c r="A54" s="4" t="n">
        <v>50</v>
      </c>
      <c r="B54" s="5" t="inlineStr">
        <is>
          <t>Struttura e viteria</t>
        </is>
      </c>
      <c r="C54" s="6" t="inlineStr">
        <is>
          <t>Viti autofilettanti per plastica 3 x 8, 3 x 10, 3 x 12 e 3 x 16</t>
        </is>
      </c>
      <c r="D54" s="5" t="inlineStr">
        <is>
          <t>una confezione piccola per misura</t>
        </is>
      </c>
      <c r="E54" s="7" t="n">
        <v>4</v>
      </c>
      <c r="F54" s="4" t="inlineStr">
        <is>
          <t>conf</t>
        </is>
      </c>
      <c r="G54" s="8" t="n">
        <v>3</v>
      </c>
      <c r="H54" s="9">
        <f>E54*G54</f>
        <v/>
      </c>
      <c r="I54" s="5" t="inlineStr">
        <is>
          <t>vedi foglio Viteria</t>
        </is>
      </c>
      <c r="J54" s="5" t="inlineStr"/>
    </row>
    <row r="55">
      <c r="A55" s="4" t="n">
        <v>51</v>
      </c>
      <c r="B55" s="5" t="inlineStr">
        <is>
          <t>Struttura e viteria</t>
        </is>
      </c>
      <c r="C55" s="6" t="inlineStr">
        <is>
          <t>Viti M3 x 12 a testa cilindrica</t>
        </is>
      </c>
      <c r="D55" s="5" t="inlineStr">
        <is>
          <t>8 pezzi + scorta</t>
        </is>
      </c>
      <c r="E55" s="7" t="n">
        <v>1</v>
      </c>
      <c r="F55" s="4" t="inlineStr">
        <is>
          <t>conf</t>
        </is>
      </c>
      <c r="G55" s="8" t="n">
        <v>2</v>
      </c>
      <c r="H55" s="9">
        <f>E55*G55</f>
        <v/>
      </c>
      <c r="I55" s="5" t="inlineStr">
        <is>
          <t>cornice B22: attraverso parete del bagno e guarnizione, nella testata della tank</t>
        </is>
      </c>
      <c r="J55" s="5" t="inlineStr"/>
    </row>
    <row r="56">
      <c r="A56" s="4" t="n">
        <v>52</v>
      </c>
      <c r="B56" s="5" t="inlineStr">
        <is>
          <t>Struttura e viteria</t>
        </is>
      </c>
      <c r="C56" s="6" t="inlineStr">
        <is>
          <t>Viti M3 x 16 con dado e rondella larga</t>
        </is>
      </c>
      <c r="D56" s="5" t="inlineStr">
        <is>
          <t>6 pezzi</t>
        </is>
      </c>
      <c r="E56" s="7" t="n">
        <v>1</v>
      </c>
      <c r="F56" s="4" t="inlineStr">
        <is>
          <t>conf</t>
        </is>
      </c>
      <c r="G56" s="8" t="n">
        <v>2</v>
      </c>
      <c r="H56" s="9">
        <f>E56*G56</f>
        <v/>
      </c>
      <c r="I56" s="5" t="inlineStr">
        <is>
          <t>piedini della tank attraverso il fondo del bagno e il piano (rondella in gomma sopra il fondo)</t>
        </is>
      </c>
      <c r="J56" s="5" t="inlineStr"/>
    </row>
    <row r="57">
      <c r="A57" s="4" t="n">
        <v>53</v>
      </c>
      <c r="B57" s="5" t="inlineStr">
        <is>
          <t>Struttura e viteria</t>
        </is>
      </c>
      <c r="C57" s="6" t="inlineStr">
        <is>
          <t>Minuteria della tank: 1 grano M3 x 6, 4 viti autofilettanti M2 x 6, 1 vite M2,5 x 8, 2 viti M3 x 8, 2 viti M3 x 10, 6 viti M3 x 8 (riduttore)</t>
        </is>
      </c>
      <c r="D57" s="5" t="inlineStr">
        <is>
          <t>assortimento</t>
        </is>
      </c>
      <c r="E57" s="7" t="n">
        <v>1</v>
      </c>
      <c r="F57" s="4" t="inlineStr">
        <is>
          <t>serie</t>
        </is>
      </c>
      <c r="G57" s="8" t="n">
        <v>4</v>
      </c>
      <c r="H57" s="9">
        <f>E57*G57</f>
        <v/>
      </c>
      <c r="I57" s="5" t="inlineStr">
        <is>
          <t>disco motore, morsetti lama, manovella, motoriduttore, perno folle, staffa Hall</t>
        </is>
      </c>
      <c r="J57" s="5" t="inlineStr"/>
    </row>
    <row r="58">
      <c r="A58" s="4" t="n">
        <v>54</v>
      </c>
      <c r="B58" s="5" t="inlineStr">
        <is>
          <t>Struttura e viteria</t>
        </is>
      </c>
      <c r="C58" s="6" t="inlineStr">
        <is>
          <t>Filamento PETG, bobina da 1 kg</t>
        </is>
      </c>
      <c r="D58" s="5" t="inlineStr">
        <is>
          <t>colore a scelta (nero per la tank)</t>
        </is>
      </c>
      <c r="E58" s="7" t="n">
        <v>2</v>
      </c>
      <c r="F58" s="4" t="inlineStr">
        <is>
          <t>pz</t>
        </is>
      </c>
      <c r="G58" s="8" t="n">
        <v>20</v>
      </c>
      <c r="H58" s="9">
        <f>E58*G58</f>
        <v/>
      </c>
      <c r="I58" s="5" t="inlineStr">
        <is>
          <t>tutti i pezzi stampati</t>
        </is>
      </c>
      <c r="J58" s="5" t="inlineStr">
        <is>
          <t>stima: vedi foglio Pezzi stampati</t>
        </is>
      </c>
    </row>
    <row r="59">
      <c r="A59" s="4" t="n">
        <v>55</v>
      </c>
      <c r="B59" s="5" t="inlineStr">
        <is>
          <t>Struttura e viteria</t>
        </is>
      </c>
      <c r="C59" s="6" t="inlineStr">
        <is>
          <t>Filamento PETG TRASPARENTE, bobina piccola</t>
        </is>
      </c>
      <c r="D59" s="5" t="inlineStr"/>
      <c r="E59" s="7" t="n">
        <v>1</v>
      </c>
      <c r="F59" s="4" t="inlineStr">
        <is>
          <t>pz</t>
        </is>
      </c>
      <c r="G59" s="8" t="n">
        <v>12</v>
      </c>
      <c r="H59" s="9">
        <f>E59*G59</f>
        <v/>
      </c>
      <c r="I59" s="5" t="inlineStr">
        <is>
          <t>camere di livello C03</t>
        </is>
      </c>
      <c r="J59" s="5" t="inlineStr">
        <is>
          <t>circa 60 g</t>
        </is>
      </c>
    </row>
    <row r="60">
      <c r="A60" s="4" t="n">
        <v>56</v>
      </c>
      <c r="B60" s="5" t="inlineStr">
        <is>
          <t>Struttura e viteria</t>
        </is>
      </c>
      <c r="C60" s="6" t="inlineStr">
        <is>
          <t>Collante per PMMA (Acrifix 192 o diclorometano) + silicone neutro</t>
        </is>
      </c>
      <c r="D60" s="5" t="inlineStr"/>
      <c r="E60" s="7" t="n">
        <v>1</v>
      </c>
      <c r="F60" s="4" t="inlineStr">
        <is>
          <t>serie</t>
        </is>
      </c>
      <c r="G60" s="8" t="n">
        <v>12</v>
      </c>
      <c r="H60" s="9">
        <f>E60*G60</f>
        <v/>
      </c>
      <c r="I60" s="5" t="inlineStr">
        <is>
          <t>incollaggio della vasca, sigillatura dei passaparete e delle selle dei riscaldatori</t>
        </is>
      </c>
      <c r="J60" s="5" t="inlineStr"/>
    </row>
    <row r="61">
      <c r="A61" s="10" t="n"/>
      <c r="B61" s="10" t="n"/>
      <c r="C61" s="11" t="inlineStr">
        <is>
          <t>TOTALE da acquistare</t>
        </is>
      </c>
      <c r="D61" s="10" t="n"/>
      <c r="E61" s="10" t="n"/>
      <c r="F61" s="10" t="n"/>
      <c r="G61" s="10" t="n"/>
      <c r="H61" s="12">
        <f>SUM(H5:H60)</f>
        <v/>
      </c>
      <c r="I61" s="10" t="n"/>
      <c r="J61" s="10" t="n"/>
    </row>
    <row r="63">
      <c r="C63" s="13" t="inlineStr">
        <is>
          <t>Totale per gruppo</t>
        </is>
      </c>
      <c r="H63" s="14" t="n"/>
    </row>
    <row r="64">
      <c r="C64" s="5" t="inlineStr">
        <is>
          <t>Bagno</t>
        </is>
      </c>
      <c r="H64" s="9">
        <f>SUMIF($B$5:$B$60,C64,$H$5:$H$60)</f>
        <v/>
      </c>
    </row>
    <row r="65">
      <c r="C65" s="5" t="inlineStr">
        <is>
          <t>Idraulica</t>
        </is>
      </c>
      <c r="H65" s="9">
        <f>SUMIF($B$5:$B$60,C65,$H$5:$H$60)</f>
        <v/>
      </c>
    </row>
    <row r="66">
      <c r="C66" s="5" t="inlineStr">
        <is>
          <t>Tank e trasmissione</t>
        </is>
      </c>
      <c r="H66" s="9">
        <f>SUMIF($B$5:$B$60,C66,$H$5:$H$60)</f>
        <v/>
      </c>
    </row>
    <row r="67">
      <c r="C67" s="5" t="inlineStr">
        <is>
          <t>Elettrico</t>
        </is>
      </c>
      <c r="H67" s="9">
        <f>SUMIF($B$5:$B$60,C67,$H$5:$H$60)</f>
        <v/>
      </c>
    </row>
    <row r="68">
      <c r="C68" s="5" t="inlineStr">
        <is>
          <t>Struttura e viteria</t>
        </is>
      </c>
      <c r="H68" s="9">
        <f>SUMIF($B$5:$B$60,C68,$H$5:$H$60)</f>
        <v/>
      </c>
    </row>
    <row r="69">
      <c r="C69" s="5" t="inlineStr">
        <is>
          <t>di cui facoltativi (velluto, tester per servo)</t>
        </is>
      </c>
      <c r="H69" s="9" t="inlineStr">
        <is>
          <t>=</t>
        </is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7" customWidth="1" min="3" max="3"/>
    <col width="13" customWidth="1" min="4" max="4"/>
    <col width="12" customWidth="1" min="5" max="5"/>
    <col width="90" customWidth="1" min="6" max="6"/>
  </cols>
  <sheetData>
    <row r="1">
      <c r="A1" s="1" t="inlineStr">
        <is>
          <t>Componenti già acquistati e loro uso nel rilascio 7</t>
        </is>
      </c>
    </row>
    <row r="2">
      <c r="A2" s="15" t="inlineStr">
        <is>
          <t>Quantità e prezzi: distinta originale del progetto dove nota; alimentatore, Kamoer e riscaldatori ai prezzi indicativi.</t>
        </is>
      </c>
    </row>
    <row r="4" ht="30" customHeight="1">
      <c r="A4" s="3" t="inlineStr">
        <is>
          <t>Componente</t>
        </is>
      </c>
      <c r="B4" s="3" t="inlineStr">
        <is>
          <t>Specifiche</t>
        </is>
      </c>
      <c r="C4" s="3" t="inlineStr">
        <is>
          <t>Q.tà</t>
        </is>
      </c>
      <c r="D4" s="3" t="inlineStr">
        <is>
          <t>Prezzo unitario (€)</t>
        </is>
      </c>
      <c r="E4" s="3" t="inlineStr">
        <is>
          <t>Totale (€)</t>
        </is>
      </c>
      <c r="F4" s="3" t="inlineStr">
        <is>
          <t>Uso in questa macchina</t>
        </is>
      </c>
    </row>
    <row r="5">
      <c r="A5" s="6" t="inlineStr">
        <is>
          <t>Alimentatore</t>
        </is>
      </c>
      <c r="B5" s="5" t="inlineStr">
        <is>
          <t>Mean Well LRS-350-12</t>
        </is>
      </c>
      <c r="C5" s="4" t="n">
        <v>1</v>
      </c>
      <c r="D5" s="9" t="n">
        <v>32</v>
      </c>
      <c r="E5" s="9">
        <f>C5*D5</f>
        <v/>
      </c>
      <c r="F5" s="5" t="inlineStr">
        <is>
          <t>Usato: in piedi sul fianco sinistro del piedistallo, tra i fermi C09, morsetti verso il retro. Tre coppie +V/-V verso J1, J2, J3 della Mainboard</t>
        </is>
      </c>
    </row>
    <row r="6">
      <c r="A6" s="6" t="inlineStr">
        <is>
          <t>Display</t>
        </is>
      </c>
      <c r="B6" s="5" t="inlineStr">
        <is>
          <t>JC4880P433</t>
        </is>
      </c>
      <c r="C6" s="4" t="n">
        <v>1</v>
      </c>
      <c r="D6" s="9" t="n">
        <v>25.59</v>
      </c>
      <c r="E6" s="9">
        <f>C6*D6</f>
        <v/>
      </c>
      <c r="F6" s="5" t="inlineStr">
        <is>
          <t>Usato: in verticale dietro la finestra del pannello frontale, nella cornice C12, trattenuto dalle quattro linguette D10</t>
        </is>
      </c>
    </row>
    <row r="7">
      <c r="A7" s="6" t="inlineStr">
        <is>
          <t>Pompa</t>
        </is>
      </c>
      <c r="B7" s="5" t="inlineStr">
        <is>
          <t>Kamoer KPHM600 12 V</t>
        </is>
      </c>
      <c r="C7" s="4" t="n">
        <v>1</v>
      </c>
      <c r="D7" s="9" t="n">
        <v>60</v>
      </c>
      <c r="E7" s="9">
        <f>C7*D7</f>
        <v/>
      </c>
      <c r="F7" s="5" t="inlineStr">
        <is>
          <t>Usata: nella culla C08 sulla base, testa verso il fronte. Bocca A dal collettore, bocca B al passaparete della tank</t>
        </is>
      </c>
    </row>
    <row r="8">
      <c r="A8" s="6" t="inlineStr">
        <is>
          <t>Mainboard</t>
        </is>
      </c>
      <c r="B8" s="5" t="inlineStr">
        <is>
          <t>FilMachine Mainboard v1.1 (JLCPCB)</t>
        </is>
      </c>
      <c r="C8" s="4" t="n">
        <v>1</v>
      </c>
      <c r="D8" s="9" t="n">
        <v>0</v>
      </c>
      <c r="E8" s="9">
        <f>C8*D8</f>
        <v/>
      </c>
      <c r="F8" s="5" t="inlineStr">
        <is>
          <t>Usata: in piedi dietro il display sui due montanti C10 (quattro viti M3 x 8 nei fori di fissaggio della scheda, a 4 mm dai bordi), componenti verso il retro</t>
        </is>
      </c>
    </row>
    <row r="9">
      <c r="A9" s="6" t="inlineStr">
        <is>
          <t>Elettrovalvola</t>
        </is>
      </c>
      <c r="B9" s="5" t="inlineStr">
        <is>
          <t>DC 12V Normally Close</t>
        </is>
      </c>
      <c r="C9" s="4" t="n">
        <v>5</v>
      </c>
      <c r="D9" s="9" t="n">
        <v>7.59</v>
      </c>
      <c r="E9" s="9">
        <f>C9*D9</f>
        <v/>
      </c>
      <c r="F9" s="5" t="inlineStr">
        <is>
          <t>Usate tutte, sdraiate sulla culla C02, bocca posteriore nel collettore C01. Da sinistra: WB, C1, SCARICO, C2, RECUPERO (nuova), C3. Freccia verso il collettore</t>
        </is>
      </c>
    </row>
    <row r="10">
      <c r="A10" s="6" t="inlineStr">
        <is>
          <t>Motore agitatore</t>
        </is>
      </c>
      <c r="B10" s="5" t="inlineStr">
        <is>
          <t>JGB37-520 12V 20RPM</t>
        </is>
      </c>
      <c r="C10" s="4" t="n">
        <v>1</v>
      </c>
      <c r="D10" s="9" t="n">
        <v>8.34</v>
      </c>
      <c r="E10" s="9">
        <f>C10*D10</f>
        <v/>
      </c>
      <c r="F10" s="5" t="inlineStr">
        <is>
          <t>Usato: nel vano asciutto, coassiale con la spirale, sulla staffa B20; trascina attraverso la testata col giunto magnetico</t>
        </is>
      </c>
    </row>
    <row r="11">
      <c r="A11" s="6" t="inlineStr">
        <is>
          <t>Riscaldatore</t>
        </is>
      </c>
      <c r="B11" s="5" t="inlineStr">
        <is>
          <t>100W 12V Ø16 x 100</t>
        </is>
      </c>
      <c r="C11" s="4" t="n">
        <v>2</v>
      </c>
      <c r="D11" s="9" t="n">
        <v>10.85</v>
      </c>
      <c r="E11" s="9">
        <f>C11*D11</f>
        <v/>
      </c>
      <c r="F11" s="5" t="inlineStr">
        <is>
          <t>Usati: infilati dalla parete destra del bagno (teste nell'intercapedine destra), paralleli al fondo dietro i contenitori, estremita' sulle selle C06</t>
        </is>
      </c>
    </row>
    <row r="12">
      <c r="A12" s="6" t="inlineStr">
        <is>
          <t>Sensore hall</t>
        </is>
      </c>
      <c r="B12" s="5" t="inlineStr">
        <is>
          <t>KY-003 A3144</t>
        </is>
      </c>
      <c r="C12" s="4" t="n">
        <v>1</v>
      </c>
      <c r="D12" s="9" t="n">
        <v>4.83</v>
      </c>
      <c r="E12" s="9">
        <f>C12*D12</f>
        <v/>
      </c>
      <c r="F12" s="5" t="inlineStr">
        <is>
          <t>Usato: sulla staffa B21 a sinistra del disco, col sensore piegato di piatto verso la testata (dentro l'incavo), legge i 4 magneti indicatori del mozzo</t>
        </is>
      </c>
    </row>
    <row r="13">
      <c r="A13" s="6" t="inlineStr">
        <is>
          <t>Sensore flusso</t>
        </is>
      </c>
      <c r="B13" s="5" t="inlineStr">
        <is>
          <t>YF-S201 12V</t>
        </is>
      </c>
      <c r="C13" s="4" t="n">
        <v>1</v>
      </c>
      <c r="D13" s="9" t="n">
        <v>5.94</v>
      </c>
      <c r="E13" s="9">
        <f>C13*D13</f>
        <v/>
      </c>
      <c r="F13" s="5" t="inlineStr">
        <is>
          <t>Usato: sulla linea dell'ingresso, nella culla C04 dietro la mainboard</t>
        </is>
      </c>
    </row>
    <row r="14">
      <c r="A14" s="6" t="inlineStr">
        <is>
          <t>Sensore livello</t>
        </is>
      </c>
      <c r="B14" s="5" t="inlineStr">
        <is>
          <t>XKC-Y21 5V</t>
        </is>
      </c>
      <c r="C14" s="4" t="n">
        <v>8</v>
      </c>
      <c r="D14" s="9" t="n">
        <v>5.53</v>
      </c>
      <c r="E14" s="9">
        <f>C14*D14</f>
        <v/>
      </c>
      <c r="F14" s="5" t="inlineStr">
        <is>
          <t>Usati tutti: 2 sulla parete posteriore del bagno (MIN e MAX, fuori), 3 sulle camere di livello C03 (MIN delle chimiche), 3 sulla parete posteriore dei contenitori sopra l'acqua (MAX)</t>
        </is>
      </c>
    </row>
    <row r="15">
      <c r="A15" s="6" t="inlineStr">
        <is>
          <t>Sensore temperatura</t>
        </is>
      </c>
      <c r="B15" s="5" t="inlineStr">
        <is>
          <t>DS18B20 30mm 1m</t>
        </is>
      </c>
      <c r="C15" s="4" t="n">
        <v>2</v>
      </c>
      <c r="D15" s="9" t="n">
        <v>3.31</v>
      </c>
      <c r="E15" s="9">
        <f>C15*D15</f>
        <v/>
      </c>
      <c r="F15" s="5" t="inlineStr">
        <is>
          <t>Usato uno nel bagno (portasonda C05 sulla parete posteriore). Il secondo (chimica) non ha piu' posto: i contenitori sono chiusi; tenerlo di scorta</t>
        </is>
      </c>
    </row>
    <row r="16">
      <c r="A16" s="6" t="inlineStr">
        <is>
          <t>Cavo Flat</t>
        </is>
      </c>
      <c r="B16" s="5" t="inlineStr">
        <is>
          <t>Cavo flat grigio 2x13 20cm</t>
        </is>
      </c>
      <c r="C16" s="4" t="n">
        <v>1</v>
      </c>
      <c r="D16" s="9" t="n">
        <v>6.75</v>
      </c>
      <c r="E16" s="9">
        <f>C16*D16</f>
        <v/>
      </c>
      <c r="F16" s="5" t="inlineStr">
        <is>
          <t>Usato: dal display alla Mainboard, che sta subito dietro</t>
        </is>
      </c>
    </row>
    <row r="17">
      <c r="A17" s="11" t="inlineStr">
        <is>
          <t>TOTALE già speso</t>
        </is>
      </c>
      <c r="B17" s="10" t="n"/>
      <c r="C17" s="10" t="n"/>
      <c r="D17" s="10" t="n"/>
      <c r="E17" s="12">
        <f>SUM(E5:E16)</f>
        <v/>
      </c>
      <c r="F17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Pezzi da stampare (file in stl/ e step/, già nell'orientamento di stampa)</t>
        </is>
      </c>
    </row>
    <row r="2">
      <c r="A2" s="16" t="inlineStr">
        <is>
          <t>Ipotesi per la stima del filamento (celle in blu, modificabili):</t>
        </is>
      </c>
    </row>
    <row r="3">
      <c r="A3" s="17" t="inlineStr">
        <is>
          <t>Densità PETG (g/cm3)</t>
        </is>
      </c>
      <c r="B3" s="18" t="n">
        <v>1.27</v>
      </c>
      <c r="C3" s="17" t="inlineStr">
        <is>
          <t>Quota di materiale rispetto al pieno (pareti + riempimento 25 %)</t>
        </is>
      </c>
      <c r="D3" s="18" t="n">
        <v>0.5</v>
      </c>
    </row>
    <row r="5" ht="30" customHeight="1">
      <c r="A5" s="3" t="inlineStr">
        <is>
          <t>Pezzo</t>
        </is>
      </c>
      <c r="B5" s="3" t="inlineStr">
        <is>
          <t>Q.tà</t>
        </is>
      </c>
      <c r="C5" s="3" t="inlineStr">
        <is>
          <t>Volume pieno (cm3)</t>
        </is>
      </c>
      <c r="D5" s="3" t="inlineStr">
        <is>
          <t>Volume totale (cm3)</t>
        </is>
      </c>
      <c r="E5" s="3" t="inlineStr">
        <is>
          <t>Ingombro X (mm)</t>
        </is>
      </c>
      <c r="F5" s="3" t="inlineStr">
        <is>
          <t>Ingombro Y (mm)</t>
        </is>
      </c>
      <c r="G5" s="3" t="inlineStr">
        <is>
          <t>Altezza di stampa Z (mm)</t>
        </is>
      </c>
      <c r="H5" s="3" t="inlineStr">
        <is>
          <t>Note di stampa</t>
        </is>
      </c>
    </row>
    <row r="6">
      <c r="A6" s="6" t="inlineStr">
        <is>
          <t>A01_flangia_135_A</t>
        </is>
      </c>
      <c r="B6" s="4" t="n">
        <v>1</v>
      </c>
      <c r="C6" s="19" t="n">
        <v>12.5</v>
      </c>
      <c r="D6" s="19">
        <f>B6*C6</f>
        <v/>
      </c>
      <c r="E6" s="19" t="n">
        <v>93.5</v>
      </c>
      <c r="F6" s="19" t="n">
        <v>93.5</v>
      </c>
      <c r="G6" s="19" t="n">
        <v>8</v>
      </c>
      <c r="H6" s="5" t="inlineStr">
        <is>
          <t>per il 135</t>
        </is>
      </c>
    </row>
    <row r="7">
      <c r="A7" s="6" t="inlineStr">
        <is>
          <t>A02_flangia_135_B</t>
        </is>
      </c>
      <c r="B7" s="4" t="n">
        <v>1</v>
      </c>
      <c r="C7" s="19" t="n">
        <v>12.5</v>
      </c>
      <c r="D7" s="19">
        <f>B7*C7</f>
        <v/>
      </c>
      <c r="E7" s="19" t="n">
        <v>93.5</v>
      </c>
      <c r="F7" s="19" t="n">
        <v>93.5</v>
      </c>
      <c r="G7" s="19" t="n">
        <v>8</v>
      </c>
      <c r="H7" s="5" t="inlineStr">
        <is>
          <t>per il 135</t>
        </is>
      </c>
    </row>
    <row r="8">
      <c r="A8" s="6" t="inlineStr">
        <is>
          <t>A03_tubo_baionetta</t>
        </is>
      </c>
      <c r="B8" s="4" t="n">
        <v>1</v>
      </c>
      <c r="C8" s="19" t="n">
        <v>22.5</v>
      </c>
      <c r="D8" s="19">
        <f>B8*C8</f>
        <v/>
      </c>
      <c r="E8" s="19" t="n">
        <v>34</v>
      </c>
      <c r="F8" s="19" t="n">
        <v>34</v>
      </c>
      <c r="G8" s="19" t="n">
        <v>97.5</v>
      </c>
      <c r="H8" s="5" t="inlineStr">
        <is>
          <t>passaggio della fascetta da parte a parte tra i due collarini, finestra larga e stretta (come la Lab-Box); il tamburo A04 non c'e' piu'</t>
        </is>
      </c>
    </row>
    <row r="9">
      <c r="A9" s="6" t="inlineStr">
        <is>
          <t>A05_anello_alette</t>
        </is>
      </c>
      <c r="B9" s="4" t="n">
        <v>2</v>
      </c>
      <c r="C9" s="19" t="n">
        <v>13.6</v>
      </c>
      <c r="D9" s="19">
        <f>B9*C9</f>
        <v/>
      </c>
      <c r="E9" s="19" t="n">
        <v>91.8</v>
      </c>
      <c r="F9" s="19" t="n">
        <v>91.8</v>
      </c>
      <c r="G9" s="19" t="n">
        <v>14.8</v>
      </c>
      <c r="H9" s="5" t="inlineStr"/>
    </row>
    <row r="10">
      <c r="A10" s="6" t="inlineStr">
        <is>
          <t>A06_anello_alette_variante_B</t>
        </is>
      </c>
      <c r="B10" s="4" t="n">
        <v>0</v>
      </c>
      <c r="C10" s="19" t="n">
        <v>13.6</v>
      </c>
      <c r="D10" s="19">
        <f>B10*C10</f>
        <v/>
      </c>
      <c r="E10" s="19" t="n">
        <v>91.8</v>
      </c>
      <c r="F10" s="19" t="n">
        <v>91.8</v>
      </c>
      <c r="G10" s="19" t="n">
        <v>14.8</v>
      </c>
      <c r="H10" s="5" t="inlineStr">
        <is>
          <t>facoltativo: alette concordi</t>
        </is>
      </c>
    </row>
    <row r="11">
      <c r="A11" s="6" t="inlineStr">
        <is>
          <t>A09_provino_accoppiamento</t>
        </is>
      </c>
      <c r="B11" s="4" t="n">
        <v>1</v>
      </c>
      <c r="C11" s="19" t="n">
        <v>10.6</v>
      </c>
      <c r="D11" s="19">
        <f>B11*C11</f>
        <v/>
      </c>
      <c r="E11" s="19" t="n">
        <v>123</v>
      </c>
      <c r="F11" s="19" t="n">
        <v>39</v>
      </c>
      <c r="G11" s="19" t="n">
        <v>8</v>
      </c>
      <c r="H11" s="5" t="inlineStr">
        <is>
          <t>da stampare per primo: sceglie il gioco della baionetta</t>
        </is>
      </c>
    </row>
    <row r="12">
      <c r="A12" s="6" t="inlineStr">
        <is>
          <t>A10_flangia_120_A</t>
        </is>
      </c>
      <c r="B12" s="4" t="n">
        <v>1</v>
      </c>
      <c r="C12" s="19" t="n">
        <v>10.7</v>
      </c>
      <c r="D12" s="19">
        <f>B12*C12</f>
        <v/>
      </c>
      <c r="E12" s="19" t="n">
        <v>93.5</v>
      </c>
      <c r="F12" s="19" t="n">
        <v>93.5</v>
      </c>
      <c r="G12" s="19" t="n">
        <v>8</v>
      </c>
      <c r="H12" s="5" t="inlineStr">
        <is>
          <t>per il 120: giri piu' distanziati</t>
        </is>
      </c>
    </row>
    <row r="13">
      <c r="A13" s="6" t="inlineStr">
        <is>
          <t>A11_flangia_120_B</t>
        </is>
      </c>
      <c r="B13" s="4" t="n">
        <v>1</v>
      </c>
      <c r="C13" s="19" t="n">
        <v>10.7</v>
      </c>
      <c r="D13" s="19">
        <f>B13*C13</f>
        <v/>
      </c>
      <c r="E13" s="19" t="n">
        <v>93.5</v>
      </c>
      <c r="F13" s="19" t="n">
        <v>93.5</v>
      </c>
      <c r="G13" s="19" t="n">
        <v>8</v>
      </c>
      <c r="H13" s="5" t="inlineStr">
        <is>
          <t>per il 120: giri piu' distanziati</t>
        </is>
      </c>
    </row>
    <row r="14">
      <c r="A14" s="6" t="inlineStr">
        <is>
          <t>B01_corpo_tank</t>
        </is>
      </c>
      <c r="B14" s="4" t="n">
        <v>1</v>
      </c>
      <c r="C14" s="19" t="n">
        <v>604.9</v>
      </c>
      <c r="D14" s="19">
        <f>B14*C14</f>
        <v/>
      </c>
      <c r="E14" s="19" t="n">
        <v>183.8</v>
      </c>
      <c r="F14" s="19" t="n">
        <v>150</v>
      </c>
      <c r="G14" s="19" t="n">
        <v>113</v>
      </c>
      <c r="H14" s="5" t="inlineStr">
        <is>
          <t>in piedi, senza supporti; la galleria del vecchio motore resta come vuoto chiuso</t>
        </is>
      </c>
    </row>
    <row r="15">
      <c r="A15" s="6" t="inlineStr">
        <is>
          <t>B02_coperchio_tank</t>
        </is>
      </c>
      <c r="B15" s="4" t="n">
        <v>1</v>
      </c>
      <c r="C15" s="19" t="n">
        <v>84.8</v>
      </c>
      <c r="D15" s="19">
        <f>B15*C15</f>
        <v/>
      </c>
      <c r="E15" s="19" t="n">
        <v>175.6</v>
      </c>
      <c r="F15" s="19" t="n">
        <v>127.8</v>
      </c>
      <c r="G15" s="19" t="n">
        <v>11</v>
      </c>
      <c r="H15" s="5" t="inlineStr">
        <is>
          <t>capovolto</t>
        </is>
      </c>
    </row>
    <row r="16">
      <c r="A16" s="6" t="inlineStr">
        <is>
          <t>B03_coperchietto_vano_servo</t>
        </is>
      </c>
      <c r="B16" s="4" t="n">
        <v>1</v>
      </c>
      <c r="C16" s="19" t="n">
        <v>4.9</v>
      </c>
      <c r="D16" s="19">
        <f>B16*C16</f>
        <v/>
      </c>
      <c r="E16" s="19" t="n">
        <v>24.3</v>
      </c>
      <c r="F16" s="19" t="n">
        <v>69</v>
      </c>
      <c r="G16" s="19" t="n">
        <v>3</v>
      </c>
      <c r="H16" s="5" t="inlineStr">
        <is>
          <t>con la guarnizione piana da 1 mm (il vano e' sott'acqua)</t>
        </is>
      </c>
    </row>
    <row r="17">
      <c r="A17" s="6" t="inlineStr">
        <is>
          <t>B04_blocco_ponte_DX</t>
        </is>
      </c>
      <c r="B17" s="4" t="n">
        <v>1</v>
      </c>
      <c r="C17" s="19" t="n">
        <v>12.2</v>
      </c>
      <c r="D17" s="19">
        <f>B17*C17</f>
        <v/>
      </c>
      <c r="E17" s="19" t="n">
        <v>42</v>
      </c>
      <c r="F17" s="19" t="n">
        <v>36.1</v>
      </c>
      <c r="G17" s="19" t="n">
        <v>52</v>
      </c>
      <c r="H17" s="5" t="inlineStr"/>
    </row>
    <row r="18">
      <c r="A18" s="6" t="inlineStr">
        <is>
          <t>B05_blocco_ponte_SX</t>
        </is>
      </c>
      <c r="B18" s="4" t="n">
        <v>1</v>
      </c>
      <c r="C18" s="19" t="n">
        <v>12.2</v>
      </c>
      <c r="D18" s="19">
        <f>B18*C18</f>
        <v/>
      </c>
      <c r="E18" s="19" t="n">
        <v>42</v>
      </c>
      <c r="F18" s="19" t="n">
        <v>36.1</v>
      </c>
      <c r="G18" s="19" t="n">
        <v>52</v>
      </c>
      <c r="H18" s="5" t="inlineStr"/>
    </row>
    <row r="19">
      <c r="A19" s="6" t="inlineStr">
        <is>
          <t>B06_tetto_ponte</t>
        </is>
      </c>
      <c r="B19" s="4" t="n">
        <v>1</v>
      </c>
      <c r="C19" s="19" t="n">
        <v>17.2</v>
      </c>
      <c r="D19" s="19">
        <f>B19*C19</f>
        <v/>
      </c>
      <c r="E19" s="19" t="n">
        <v>17</v>
      </c>
      <c r="F19" s="19" t="n">
        <v>104</v>
      </c>
      <c r="G19" s="19" t="n">
        <v>11</v>
      </c>
      <c r="H19" s="5" t="inlineStr">
        <is>
          <t>capovolto</t>
        </is>
      </c>
    </row>
    <row r="20">
      <c r="A20" s="6" t="inlineStr">
        <is>
          <t>B07_portalama</t>
        </is>
      </c>
      <c r="B20" s="4" t="n">
        <v>1</v>
      </c>
      <c r="C20" s="19" t="n">
        <v>4.7</v>
      </c>
      <c r="D20" s="19">
        <f>B20*C20</f>
        <v/>
      </c>
      <c r="E20" s="19" t="n">
        <v>25</v>
      </c>
      <c r="F20" s="19" t="n">
        <v>80</v>
      </c>
      <c r="G20" s="19" t="n">
        <v>14.7</v>
      </c>
      <c r="H20" s="5" t="inlineStr"/>
    </row>
    <row r="21">
      <c r="A21" s="6" t="inlineStr">
        <is>
          <t>B08_morsetto_lama_DX</t>
        </is>
      </c>
      <c r="B21" s="4" t="n">
        <v>1</v>
      </c>
      <c r="C21" s="19" t="n">
        <v>0.9</v>
      </c>
      <c r="D21" s="19">
        <f>B21*C21</f>
        <v/>
      </c>
      <c r="E21" s="19" t="n">
        <v>17.7</v>
      </c>
      <c r="F21" s="19" t="n">
        <v>35.2</v>
      </c>
      <c r="G21" s="19" t="n">
        <v>2.9</v>
      </c>
      <c r="H21" s="5" t="inlineStr"/>
    </row>
    <row r="22">
      <c r="A22" s="6" t="inlineStr">
        <is>
          <t>B09_morsetto_lama_SX</t>
        </is>
      </c>
      <c r="B22" s="4" t="n">
        <v>1</v>
      </c>
      <c r="C22" s="19" t="n">
        <v>0.9</v>
      </c>
      <c r="D22" s="19">
        <f>B22*C22</f>
        <v/>
      </c>
      <c r="E22" s="19" t="n">
        <v>17.7</v>
      </c>
      <c r="F22" s="19" t="n">
        <v>35.2</v>
      </c>
      <c r="G22" s="19" t="n">
        <v>2.9</v>
      </c>
      <c r="H22" s="5" t="inlineStr"/>
    </row>
    <row r="23">
      <c r="A23" s="6" t="inlineStr">
        <is>
          <t>B10_biella</t>
        </is>
      </c>
      <c r="B23" s="4" t="n">
        <v>1</v>
      </c>
      <c r="C23" s="19" t="n">
        <v>0.5</v>
      </c>
      <c r="D23" s="19">
        <f>B23*C23</f>
        <v/>
      </c>
      <c r="E23" s="19" t="n">
        <v>7</v>
      </c>
      <c r="F23" s="19" t="n">
        <v>35</v>
      </c>
      <c r="G23" s="19" t="n">
        <v>3</v>
      </c>
      <c r="H23" s="5" t="inlineStr"/>
    </row>
    <row r="24">
      <c r="A24" s="6" t="inlineStr">
        <is>
          <t>B11_manovella</t>
        </is>
      </c>
      <c r="B24" s="4" t="n">
        <v>1</v>
      </c>
      <c r="C24" s="19" t="n">
        <v>0.1</v>
      </c>
      <c r="D24" s="19">
        <f>B24*C24</f>
        <v/>
      </c>
      <c r="E24" s="19" t="n">
        <v>7.2</v>
      </c>
      <c r="F24" s="19" t="n">
        <v>12.6</v>
      </c>
      <c r="G24" s="19" t="n">
        <v>3</v>
      </c>
      <c r="H24" s="5" t="inlineStr"/>
    </row>
    <row r="25">
      <c r="A25" s="6" t="inlineStr">
        <is>
          <t>B12_culla_universale</t>
        </is>
      </c>
      <c r="B25" s="4" t="n">
        <v>1</v>
      </c>
      <c r="C25" s="19" t="n">
        <v>39.4</v>
      </c>
      <c r="D25" s="19">
        <f>B25*C25</f>
        <v/>
      </c>
      <c r="E25" s="19" t="n">
        <v>32</v>
      </c>
      <c r="F25" s="19" t="n">
        <v>72</v>
      </c>
      <c r="G25" s="19" t="n">
        <v>35.5</v>
      </c>
      <c r="H25" s="5" t="inlineStr">
        <is>
          <t>un solo pezzo per caricatore 135 e rullo 120</t>
        </is>
      </c>
    </row>
    <row r="26">
      <c r="A26" s="6" t="inlineStr">
        <is>
          <t>B13_barra_guida</t>
        </is>
      </c>
      <c r="B26" s="4" t="n">
        <v>1</v>
      </c>
      <c r="C26" s="19" t="n">
        <v>6.4</v>
      </c>
      <c r="D26" s="19">
        <f>B26*C26</f>
        <v/>
      </c>
      <c r="E26" s="19" t="n">
        <v>8</v>
      </c>
      <c r="F26" s="19" t="n">
        <v>104</v>
      </c>
      <c r="G26" s="19" t="n">
        <v>8</v>
      </c>
      <c r="H26" s="5" t="inlineStr">
        <is>
          <t>quattro fossette: posizioni 135 (strette) e 120 (larghe)</t>
        </is>
      </c>
    </row>
    <row r="27">
      <c r="A27" s="6" t="inlineStr">
        <is>
          <t>B14_slitta_DX</t>
        </is>
      </c>
      <c r="B27" s="4" t="n">
        <v>1</v>
      </c>
      <c r="C27" s="19" t="n">
        <v>5.3</v>
      </c>
      <c r="D27" s="19">
        <f>B27*C27</f>
        <v/>
      </c>
      <c r="E27" s="19" t="n">
        <v>29.1</v>
      </c>
      <c r="F27" s="19" t="n">
        <v>29.8</v>
      </c>
      <c r="G27" s="19" t="n">
        <v>73</v>
      </c>
      <c r="H27" s="5" t="inlineStr">
        <is>
          <t>in piedi sulla coda; supporti solo dal piatto; vite zigrinata M3 x 10</t>
        </is>
      </c>
    </row>
    <row r="28">
      <c r="A28" s="6" t="inlineStr">
        <is>
          <t>B15_slitta_SX</t>
        </is>
      </c>
      <c r="B28" s="4" t="n">
        <v>1</v>
      </c>
      <c r="C28" s="19" t="n">
        <v>5.3</v>
      </c>
      <c r="D28" s="19">
        <f>B28*C28</f>
        <v/>
      </c>
      <c r="E28" s="19" t="n">
        <v>29.1</v>
      </c>
      <c r="F28" s="19" t="n">
        <v>29.8</v>
      </c>
      <c r="G28" s="19" t="n">
        <v>73</v>
      </c>
      <c r="H28" s="5" t="inlineStr">
        <is>
          <t>in piedi sulla coda; supporti solo dal piatto; vite zigrinata M3 x 10</t>
        </is>
      </c>
    </row>
    <row r="29">
      <c r="A29" s="6" t="inlineStr">
        <is>
          <t>B16_mozzo_magnetico</t>
        </is>
      </c>
      <c r="B29" s="4" t="n">
        <v>1</v>
      </c>
      <c r="C29" s="19" t="n">
        <v>16.6</v>
      </c>
      <c r="D29" s="19">
        <f>B29*C29</f>
        <v/>
      </c>
      <c r="E29" s="19" t="n">
        <v>56</v>
      </c>
      <c r="F29" s="19" t="n">
        <v>56</v>
      </c>
      <c r="G29" s="19" t="n">
        <v>19</v>
      </c>
      <c r="H29" s="5" t="inlineStr">
        <is>
          <t>faccia delle tasche sul piatto (le tasche sono fori ciechi dal piatto), nose in alto, senza supporti; 4 perimetri; i magneti si incollano con epossidica (polo sud degli indicatori verso la testata) e si chiudono col tappo B17</t>
        </is>
      </c>
    </row>
    <row r="30">
      <c r="A30" s="6" t="inlineStr">
        <is>
          <t>B17_tappo_mozzo</t>
        </is>
      </c>
      <c r="B30" s="4" t="n">
        <v>1</v>
      </c>
      <c r="C30" s="19" t="n">
        <v>2.1</v>
      </c>
      <c r="D30" s="19">
        <f>B30*C30</f>
        <v/>
      </c>
      <c r="E30" s="19" t="n">
        <v>53.7</v>
      </c>
      <c r="F30" s="19" t="n">
        <v>53.7</v>
      </c>
      <c r="G30" s="19" t="n">
        <v>1</v>
      </c>
      <c r="H30" s="5" t="inlineStr">
        <is>
          <t>anello da 1 mm incollato di piatto con epossidica sulla faccia delle tasche, bordo sigillato (la chimica non deve toccare i magneti)</t>
        </is>
      </c>
    </row>
    <row r="31">
      <c r="A31" s="6" t="inlineStr">
        <is>
          <t>B18_disco_motore</t>
        </is>
      </c>
      <c r="B31" s="4" t="n">
        <v>1</v>
      </c>
      <c r="C31" s="19" t="n">
        <v>6.4</v>
      </c>
      <c r="D31" s="19">
        <f>B31*C31</f>
        <v/>
      </c>
      <c r="E31" s="19" t="n">
        <v>40</v>
      </c>
      <c r="F31" s="19" t="n">
        <v>40</v>
      </c>
      <c r="G31" s="19" t="n">
        <v>12</v>
      </c>
      <c r="H31" s="5" t="inlineStr">
        <is>
          <t>faccia delle tasche sul piatto (fori ciechi dal piatto), mozzo in alto, senza supporti; magneti incollati con epossidica, chiusi dal tappo B19</t>
        </is>
      </c>
    </row>
    <row r="32">
      <c r="A32" s="6" t="inlineStr">
        <is>
          <t>B19_tappo_disco</t>
        </is>
      </c>
      <c r="B32" s="4" t="n">
        <v>1</v>
      </c>
      <c r="C32" s="19" t="n">
        <v>1.1</v>
      </c>
      <c r="D32" s="19">
        <f>B32*C32</f>
        <v/>
      </c>
      <c r="E32" s="19" t="n">
        <v>37.7</v>
      </c>
      <c r="F32" s="19" t="n">
        <v>37.7</v>
      </c>
      <c r="G32" s="19" t="n">
        <v>1</v>
      </c>
      <c r="H32" s="5" t="inlineStr">
        <is>
          <t>disco da 1 mm incollato di piatto sulla faccia delle tasche</t>
        </is>
      </c>
    </row>
    <row r="33">
      <c r="A33" s="6" t="inlineStr">
        <is>
          <t>B20_staffa_motore</t>
        </is>
      </c>
      <c r="B33" s="4" t="n">
        <v>1</v>
      </c>
      <c r="C33" s="19" t="n">
        <v>22.6</v>
      </c>
      <c r="D33" s="19">
        <f>B33*C33</f>
        <v/>
      </c>
      <c r="E33" s="19" t="n">
        <v>68</v>
      </c>
      <c r="F33" s="19" t="n">
        <v>101</v>
      </c>
      <c r="G33" s="19" t="n">
        <v>16</v>
      </c>
      <c r="H33" s="5" t="inlineStr">
        <is>
          <t>di piatto; sei fori M3 del riduttore (centro 7 mm sopra l'asse), due fori passanti per le viti della staffa Hall, asole dei piedi</t>
        </is>
      </c>
    </row>
    <row r="34">
      <c r="A34" s="6" t="inlineStr">
        <is>
          <t>B21_staffa_hall</t>
        </is>
      </c>
      <c r="B34" s="4" t="n">
        <v>1</v>
      </c>
      <c r="C34" s="19" t="n">
        <v>4.4</v>
      </c>
      <c r="D34" s="19">
        <f>B34*C34</f>
        <v/>
      </c>
      <c r="E34" s="19" t="n">
        <v>19.8</v>
      </c>
      <c r="F34" s="19" t="n">
        <v>13.8</v>
      </c>
      <c r="G34" s="19" t="n">
        <v>22.9</v>
      </c>
      <c r="H34" s="5" t="inlineStr">
        <is>
          <t>di fianco (faccia -X sul piatto); il KY-003 si infila nella fessura da destra, col sensore piegato di piatto sul bordo; una goccia di colla a caldo lo ferma</t>
        </is>
      </c>
    </row>
    <row r="35">
      <c r="A35" s="6" t="inlineStr">
        <is>
          <t>B22_cornice_finestra</t>
        </is>
      </c>
      <c r="B35" s="4" t="n">
        <v>1</v>
      </c>
      <c r="C35" s="19" t="n">
        <v>23.6</v>
      </c>
      <c r="D35" s="19">
        <f>B35*C35</f>
        <v/>
      </c>
      <c r="E35" s="19" t="n">
        <v>169.8</v>
      </c>
      <c r="F35" s="19" t="n">
        <v>103</v>
      </c>
      <c r="G35" s="19" t="n">
        <v>4</v>
      </c>
      <c r="H35" s="5" t="inlineStr">
        <is>
          <t>di piatto; stringe testata, guarnizione e parete del bagno con otto viti M3 x 12</t>
        </is>
      </c>
    </row>
    <row r="36">
      <c r="A36" s="6" t="inlineStr">
        <is>
          <t>B24_perno_folle</t>
        </is>
      </c>
      <c r="B36" s="4" t="n">
        <v>1</v>
      </c>
      <c r="C36" s="19" t="n">
        <v>5.1</v>
      </c>
      <c r="D36" s="19">
        <f>B36*C36</f>
        <v/>
      </c>
      <c r="E36" s="19" t="n">
        <v>30</v>
      </c>
      <c r="F36" s="19" t="n">
        <v>30</v>
      </c>
      <c r="G36" s="19" t="n">
        <v>22</v>
      </c>
      <c r="H36" s="5" t="inlineStr"/>
    </row>
    <row r="37">
      <c r="A37" s="6" t="inlineStr">
        <is>
          <t>C01_collettore</t>
        </is>
      </c>
      <c r="B37" s="4" t="n">
        <v>1</v>
      </c>
      <c r="C37" s="19" t="n">
        <v>146.5</v>
      </c>
      <c r="D37" s="19">
        <f>B37*C37</f>
        <v/>
      </c>
      <c r="E37" s="19" t="n">
        <v>244</v>
      </c>
      <c r="F37" s="19" t="n">
        <v>38</v>
      </c>
      <c r="G37" s="19" t="n">
        <v>38</v>
      </c>
      <c r="H37" s="5" t="inlineStr">
        <is>
          <t>di piatto (le gambe sul piatto); 4 perimetri, riempimento 100 %; sei sedi orizzontali con O-ring 9x2 + una verso la pompa</t>
        </is>
      </c>
    </row>
    <row r="38">
      <c r="A38" s="6" t="inlineStr">
        <is>
          <t>C02_culla_valvole</t>
        </is>
      </c>
      <c r="B38" s="4" t="n">
        <v>1</v>
      </c>
      <c r="C38" s="19" t="n">
        <v>66.8</v>
      </c>
      <c r="D38" s="19">
        <f>B38*C38</f>
        <v/>
      </c>
      <c r="E38" s="19" t="n">
        <v>240</v>
      </c>
      <c r="F38" s="19" t="n">
        <v>58</v>
      </c>
      <c r="G38" s="19" t="n">
        <v>10.2</v>
      </c>
      <c r="H38" s="5" t="inlineStr">
        <is>
          <t>di piatto</t>
        </is>
      </c>
    </row>
    <row r="39">
      <c r="A39" s="6" t="inlineStr">
        <is>
          <t>C03_camera_livello</t>
        </is>
      </c>
      <c r="B39" s="4" t="n">
        <v>3</v>
      </c>
      <c r="C39" s="19" t="n">
        <v>18.4</v>
      </c>
      <c r="D39" s="19">
        <f>B39*C39</f>
        <v/>
      </c>
      <c r="E39" s="19" t="n">
        <v>26</v>
      </c>
      <c r="F39" s="19" t="n">
        <v>24</v>
      </c>
      <c r="G39" s="19" t="n">
        <v>57</v>
      </c>
      <c r="H39" s="5" t="inlineStr">
        <is>
          <t>in piedi, PETG trasparente; 3 perimetri, riempimento 100 %; bocca laterale verso +X</t>
        </is>
      </c>
    </row>
    <row r="40">
      <c r="A40" s="6" t="inlineStr">
        <is>
          <t>C04_culla_flussimetro</t>
        </is>
      </c>
      <c r="B40" s="4" t="n">
        <v>1</v>
      </c>
      <c r="C40" s="19" t="n">
        <v>27.7</v>
      </c>
      <c r="D40" s="19">
        <f>B40*C40</f>
        <v/>
      </c>
      <c r="E40" s="19" t="n">
        <v>44</v>
      </c>
      <c r="F40" s="19" t="n">
        <v>57</v>
      </c>
      <c r="G40" s="19" t="n">
        <v>38.5</v>
      </c>
      <c r="H40" s="5" t="inlineStr"/>
    </row>
    <row r="41">
      <c r="A41" s="6" t="inlineStr">
        <is>
          <t>C05_portasonda</t>
        </is>
      </c>
      <c r="B41" s="4" t="n">
        <v>1</v>
      </c>
      <c r="C41" s="19" t="n">
        <v>9.1</v>
      </c>
      <c r="D41" s="19">
        <f>B41*C41</f>
        <v/>
      </c>
      <c r="E41" s="19" t="n">
        <v>16</v>
      </c>
      <c r="F41" s="19" t="n">
        <v>53.5</v>
      </c>
      <c r="G41" s="19" t="n">
        <v>17</v>
      </c>
      <c r="H41" s="5" t="inlineStr"/>
    </row>
    <row r="42">
      <c r="A42" s="6" t="inlineStr">
        <is>
          <t>C06_sella_riscaldatore</t>
        </is>
      </c>
      <c r="B42" s="4" t="n">
        <v>2</v>
      </c>
      <c r="C42" s="19" t="n">
        <v>5.1</v>
      </c>
      <c r="D42" s="19">
        <f>B42*C42</f>
        <v/>
      </c>
      <c r="E42" s="19" t="n">
        <v>20</v>
      </c>
      <c r="F42" s="19" t="n">
        <v>28</v>
      </c>
      <c r="G42" s="19" t="n">
        <v>24</v>
      </c>
      <c r="H42" s="5" t="inlineStr">
        <is>
          <t>si incolla al fondo del bagno (colla per PMMA) sotto l'estremita' libera della cartuccia</t>
        </is>
      </c>
    </row>
    <row r="43">
      <c r="A43" s="6" t="inlineStr">
        <is>
          <t>C07_culla_valvola_ingresso</t>
        </is>
      </c>
      <c r="B43" s="4" t="n">
        <v>1</v>
      </c>
      <c r="C43" s="19" t="n">
        <v>29.2</v>
      </c>
      <c r="D43" s="19">
        <f>B43*C43</f>
        <v/>
      </c>
      <c r="E43" s="19" t="n">
        <v>66</v>
      </c>
      <c r="F43" s="19" t="n">
        <v>44</v>
      </c>
      <c r="G43" s="19" t="n">
        <v>35.2</v>
      </c>
      <c r="H43" s="5" t="inlineStr"/>
    </row>
    <row r="44">
      <c r="A44" s="6" t="inlineStr">
        <is>
          <t>C08_culla_pompa</t>
        </is>
      </c>
      <c r="B44" s="4" t="n">
        <v>1</v>
      </c>
      <c r="C44" s="19" t="n">
        <v>29.8</v>
      </c>
      <c r="D44" s="19">
        <f>B44*C44</f>
        <v/>
      </c>
      <c r="E44" s="19" t="n">
        <v>96</v>
      </c>
      <c r="F44" s="19" t="n">
        <v>66</v>
      </c>
      <c r="G44" s="19" t="n">
        <v>14</v>
      </c>
      <c r="H44" s="5" t="inlineStr"/>
    </row>
    <row r="45">
      <c r="A45" s="6" t="inlineStr">
        <is>
          <t>C09_fermo_alimentatore</t>
        </is>
      </c>
      <c r="B45" s="4" t="n">
        <v>2</v>
      </c>
      <c r="C45" s="19" t="n">
        <v>12.7</v>
      </c>
      <c r="D45" s="19">
        <f>B45*C45</f>
        <v/>
      </c>
      <c r="E45" s="19" t="n">
        <v>38</v>
      </c>
      <c r="F45" s="19" t="n">
        <v>16</v>
      </c>
      <c r="G45" s="19" t="n">
        <v>46</v>
      </c>
      <c r="H45" s="5" t="inlineStr">
        <is>
          <t>uno per testa dell'alimentatore</t>
        </is>
      </c>
    </row>
    <row r="46">
      <c r="A46" s="6" t="inlineStr">
        <is>
          <t>C10_montante_mainboard</t>
        </is>
      </c>
      <c r="B46" s="4" t="n">
        <v>2</v>
      </c>
      <c r="C46" s="19" t="n">
        <v>9.9</v>
      </c>
      <c r="D46" s="19">
        <f>B46*C46</f>
        <v/>
      </c>
      <c r="E46" s="19" t="n">
        <v>138</v>
      </c>
      <c r="F46" s="19" t="n">
        <v>21</v>
      </c>
      <c r="G46" s="19" t="n">
        <v>12</v>
      </c>
      <c r="H46" s="5" t="inlineStr">
        <is>
          <t>di fianco (faccia laterale sul piatto); i boss hanno il foro M3 autofilettante per le viti della scheda</t>
        </is>
      </c>
    </row>
    <row r="47">
      <c r="A47" s="6" t="inlineStr">
        <is>
          <t>C12_cornice_display</t>
        </is>
      </c>
      <c r="B47" s="4" t="n">
        <v>1</v>
      </c>
      <c r="C47" s="19" t="n">
        <v>17</v>
      </c>
      <c r="D47" s="19">
        <f>B47*C47</f>
        <v/>
      </c>
      <c r="E47" s="19" t="n">
        <v>135.4</v>
      </c>
      <c r="F47" s="19" t="n">
        <v>83.40000000000001</v>
      </c>
      <c r="G47" s="19" t="n">
        <v>7.2</v>
      </c>
      <c r="H47" s="5" t="inlineStr">
        <is>
          <t>faccia del pannello sul piatto</t>
        </is>
      </c>
    </row>
    <row r="48">
      <c r="A48" s="6" t="inlineStr">
        <is>
          <t>C13_colonna_piano</t>
        </is>
      </c>
      <c r="B48" s="4" t="n">
        <v>2</v>
      </c>
      <c r="C48" s="19" t="n">
        <v>27.7</v>
      </c>
      <c r="D48" s="19">
        <f>B48*C48</f>
        <v/>
      </c>
      <c r="E48" s="19" t="n">
        <v>28</v>
      </c>
      <c r="F48" s="19" t="n">
        <v>20</v>
      </c>
      <c r="G48" s="19" t="n">
        <v>138</v>
      </c>
      <c r="H48" s="5" t="inlineStr">
        <is>
          <t>in piedi</t>
        </is>
      </c>
    </row>
    <row r="49">
      <c r="A49" s="6" t="inlineStr">
        <is>
          <t>C14_staffa_troppopieno</t>
        </is>
      </c>
      <c r="B49" s="4" t="n">
        <v>1</v>
      </c>
      <c r="C49" s="19" t="n">
        <v>8.300000000000001</v>
      </c>
      <c r="D49" s="19">
        <f>B49*C49</f>
        <v/>
      </c>
      <c r="E49" s="19" t="n">
        <v>16</v>
      </c>
      <c r="F49" s="19" t="n">
        <v>54.5</v>
      </c>
      <c r="G49" s="19" t="n">
        <v>17</v>
      </c>
      <c r="H49" s="5" t="inlineStr">
        <is>
          <t>staffa a cavallo della parete posteriore per il tubo del troppopieno (asse a 40 mm dalla parete)</t>
        </is>
      </c>
    </row>
    <row r="50">
      <c r="A50" s="6" t="inlineStr">
        <is>
          <t>C15_staffa_beccuccio</t>
        </is>
      </c>
      <c r="B50" s="4" t="n">
        <v>1</v>
      </c>
      <c r="C50" s="19" t="n">
        <v>3.9</v>
      </c>
      <c r="D50" s="19">
        <f>B50*C50</f>
        <v/>
      </c>
      <c r="E50" s="19" t="n">
        <v>16</v>
      </c>
      <c r="F50" s="19" t="n">
        <v>29.5</v>
      </c>
      <c r="G50" s="19" t="n">
        <v>17</v>
      </c>
      <c r="H50" s="5" t="inlineStr">
        <is>
          <t>come C14 ma col braccio corto: tubo del beccuccio a 15 mm dalla parete</t>
        </is>
      </c>
    </row>
    <row r="51">
      <c r="A51" s="6" t="inlineStr">
        <is>
          <t>D06_montante_inferiore</t>
        </is>
      </c>
      <c r="B51" s="4" t="n">
        <v>4</v>
      </c>
      <c r="C51" s="19" t="n">
        <v>16.6</v>
      </c>
      <c r="D51" s="19">
        <f>B51*C51</f>
        <v/>
      </c>
      <c r="E51" s="19" t="n">
        <v>15.3</v>
      </c>
      <c r="F51" s="19" t="n">
        <v>15.3</v>
      </c>
      <c r="G51" s="19" t="n">
        <v>155.7</v>
      </c>
      <c r="H51" s="5" t="inlineStr">
        <is>
          <t>in piedi; uguale per i quattro angoli</t>
        </is>
      </c>
    </row>
    <row r="52">
      <c r="A52" s="6" t="inlineStr">
        <is>
          <t>D07_montante_superiore</t>
        </is>
      </c>
      <c r="B52" s="4" t="n">
        <v>4</v>
      </c>
      <c r="C52" s="19" t="n">
        <v>15.6</v>
      </c>
      <c r="D52" s="19">
        <f>B52*C52</f>
        <v/>
      </c>
      <c r="E52" s="19" t="n">
        <v>15.3</v>
      </c>
      <c r="F52" s="19" t="n">
        <v>15.3</v>
      </c>
      <c r="G52" s="19" t="n">
        <v>137</v>
      </c>
      <c r="H52" s="5" t="inlineStr">
        <is>
          <t>capovolto; uguale per i quattro angoli</t>
        </is>
      </c>
    </row>
    <row r="53">
      <c r="A53" s="6" t="inlineStr">
        <is>
          <t>D10_linguetta_display</t>
        </is>
      </c>
      <c r="B53" s="4" t="n">
        <v>4</v>
      </c>
      <c r="C53" s="19" t="n">
        <v>0.4</v>
      </c>
      <c r="D53" s="19">
        <f>B53*C53</f>
        <v/>
      </c>
      <c r="E53" s="19" t="n">
        <v>17</v>
      </c>
      <c r="F53" s="19" t="n">
        <v>8</v>
      </c>
      <c r="G53" s="19" t="n">
        <v>3</v>
      </c>
      <c r="H53" s="5" t="inlineStr">
        <is>
          <t>tengono la scheda display sulla cornice</t>
        </is>
      </c>
    </row>
    <row r="54">
      <c r="A54" s="11" t="inlineStr">
        <is>
          <t>TOTALE</t>
        </is>
      </c>
      <c r="B54" s="20">
        <f>SUM(B6:B53)</f>
        <v/>
      </c>
      <c r="C54" s="10" t="n"/>
      <c r="D54" s="21">
        <f>SUM(D6:D53)</f>
        <v/>
      </c>
      <c r="E54" s="10" t="n"/>
      <c r="F54" s="10" t="n"/>
      <c r="G54" s="10" t="n"/>
      <c r="H54" s="10" t="n"/>
    </row>
    <row r="55">
      <c r="A55" s="6" t="inlineStr">
        <is>
          <t>Filamento stimato (kg)</t>
        </is>
      </c>
      <c r="D55" s="22">
        <f>D54*B3*D3/1000</f>
        <v/>
      </c>
    </row>
    <row r="56">
      <c r="A56" s="5" t="inlineStr">
        <is>
          <t>Ingombro massimo sul piatto (mm)</t>
        </is>
      </c>
      <c r="E56" s="19">
        <f>MAX(E6:E53)</f>
        <v/>
      </c>
      <c r="F56" s="19">
        <f>MAX(F6:F53)</f>
        <v/>
      </c>
      <c r="G56" s="19">
        <f>MAX(G6:G53)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60" customWidth="1" min="3" max="3"/>
    <col width="38" customWidth="1" min="5" max="5"/>
    <col width="10" customWidth="1" min="6" max="6"/>
  </cols>
  <sheetData>
    <row r="1">
      <c r="A1" s="1" t="inlineStr">
        <is>
          <t>Viteria: dove va ogni vite</t>
        </is>
      </c>
    </row>
    <row r="2">
      <c r="A2" s="15" t="inlineStr">
        <is>
          <t>Le viti autofilettanti da 3 mm entrano nei fori Ø2,6 dei pezzi stampati; le lunghezze sono verificate sul modello (verifiche.txt, check_screws.py). Le quantità per tipo sono sommate a destra.</t>
        </is>
      </c>
    </row>
    <row r="4" ht="30" customHeight="1">
      <c r="A4" s="3" t="inlineStr">
        <is>
          <t>Tipo</t>
        </is>
      </c>
      <c r="B4" s="3" t="inlineStr">
        <is>
          <t>Q.tà</t>
        </is>
      </c>
      <c r="C4" s="3" t="inlineStr">
        <is>
          <t>Dove</t>
        </is>
      </c>
      <c r="E4" s="23" t="inlineStr">
        <is>
          <t>Tipo</t>
        </is>
      </c>
      <c r="F4" s="23" t="inlineStr">
        <is>
          <t>Totale</t>
        </is>
      </c>
    </row>
    <row r="5">
      <c r="A5" s="6" t="inlineStr">
        <is>
          <t>Vite autofilettante 3 x 10</t>
        </is>
      </c>
      <c r="B5" s="4" t="n">
        <v>4</v>
      </c>
      <c r="C5" s="5" t="inlineStr">
        <is>
          <t>blocchi ponte sul ripiano della tank (B04, B05)</t>
        </is>
      </c>
      <c r="E5" s="5" t="inlineStr">
        <is>
          <t>Vite autofilettante 3 x 10</t>
        </is>
      </c>
      <c r="F5" s="4">
        <f>SUMIF($A$5:$A$34,E5,$B$5:$B$34)</f>
        <v/>
      </c>
    </row>
    <row r="6">
      <c r="A6" s="6" t="inlineStr">
        <is>
          <t>Vite autofilettante 3 x 16</t>
        </is>
      </c>
      <c r="B6" s="4" t="n">
        <v>4</v>
      </c>
      <c r="C6" s="5" t="inlineStr">
        <is>
          <t>tetto del ponte (B06)</t>
        </is>
      </c>
      <c r="E6" s="5" t="inlineStr">
        <is>
          <t>Vite autofilettante 3 x 16</t>
        </is>
      </c>
      <c r="F6" s="4">
        <f>SUMIF($A$5:$A$34,E6,$B$5:$B$34)</f>
        <v/>
      </c>
    </row>
    <row r="7">
      <c r="A7" s="6" t="inlineStr">
        <is>
          <t>Vite autofilettante 3 x 10</t>
        </is>
      </c>
      <c r="B7" s="4" t="n">
        <v>4</v>
      </c>
      <c r="C7" s="5" t="inlineStr">
        <is>
          <t>culla universale (B12)</t>
        </is>
      </c>
      <c r="E7" s="5" t="inlineStr">
        <is>
          <t>Vite M2 x 6 autofilettante</t>
        </is>
      </c>
      <c r="F7" s="4">
        <f>SUMIF($A$5:$A$34,E7,$B$5:$B$34)</f>
        <v/>
      </c>
    </row>
    <row r="8">
      <c r="A8" s="6" t="inlineStr">
        <is>
          <t>Vite M2 x 6 autofilettante</t>
        </is>
      </c>
      <c r="B8" s="4" t="n">
        <v>4</v>
      </c>
      <c r="C8" s="5" t="inlineStr">
        <is>
          <t>morsetti delle lame</t>
        </is>
      </c>
      <c r="E8" s="5" t="inlineStr">
        <is>
          <t>Vite M2 x 8 (del servo)</t>
        </is>
      </c>
      <c r="F8" s="4">
        <f>SUMIF($A$5:$A$34,E8,$B$5:$B$34)</f>
        <v/>
      </c>
    </row>
    <row r="9">
      <c r="A9" s="6" t="inlineStr">
        <is>
          <t>Vite M2 x 8 (del servo)</t>
        </is>
      </c>
      <c r="B9" s="4" t="n">
        <v>2</v>
      </c>
      <c r="C9" s="5" t="inlineStr">
        <is>
          <t>alette del servo</t>
        </is>
      </c>
      <c r="E9" s="5" t="inlineStr">
        <is>
          <t>Vite M2,5 x 8</t>
        </is>
      </c>
      <c r="F9" s="4">
        <f>SUMIF($A$5:$A$34,E9,$B$5:$B$34)</f>
        <v/>
      </c>
    </row>
    <row r="10">
      <c r="A10" s="6" t="inlineStr">
        <is>
          <t>Vite M2,5 x 8</t>
        </is>
      </c>
      <c r="B10" s="4" t="n">
        <v>1</v>
      </c>
      <c r="C10" s="5" t="inlineStr">
        <is>
          <t>perno di manovella</t>
        </is>
      </c>
      <c r="E10" s="5" t="inlineStr">
        <is>
          <t>Vite M3 x 10</t>
        </is>
      </c>
      <c r="F10" s="4">
        <f>SUMIF($A$5:$A$34,E10,$B$5:$B$34)</f>
        <v/>
      </c>
    </row>
    <row r="11">
      <c r="A11" s="6" t="inlineStr">
        <is>
          <t>Vite M3 x 10</t>
        </is>
      </c>
      <c r="B11" s="4" t="n">
        <v>1</v>
      </c>
      <c r="C11" s="5" t="inlineStr">
        <is>
          <t>spinotto biella-portalama</t>
        </is>
      </c>
      <c r="E11" s="5" t="inlineStr">
        <is>
          <t>Vite autofilettante 3 x 8</t>
        </is>
      </c>
      <c r="F11" s="4">
        <f>SUMIF($A$5:$A$34,E11,$B$5:$B$34)</f>
        <v/>
      </c>
    </row>
    <row r="12">
      <c r="A12" s="6" t="inlineStr">
        <is>
          <t>Vite autofilettante 3 x 8</t>
        </is>
      </c>
      <c r="B12" s="4" t="n">
        <v>4</v>
      </c>
      <c r="C12" s="5" t="inlineStr">
        <is>
          <t>coperchietto del vano servo (B03) con la guarnizione</t>
        </is>
      </c>
      <c r="E12" s="5" t="inlineStr">
        <is>
          <t>Vite M3 x 12</t>
        </is>
      </c>
      <c r="F12" s="4">
        <f>SUMIF($A$5:$A$34,E12,$B$5:$B$34)</f>
        <v/>
      </c>
    </row>
    <row r="13">
      <c r="A13" s="6" t="inlineStr">
        <is>
          <t>Vite M3 x 12</t>
        </is>
      </c>
      <c r="B13" s="4" t="n">
        <v>8</v>
      </c>
      <c r="C13" s="5" t="inlineStr">
        <is>
          <t>cornice B22 attraverso la parete del bagno e la guarnizione, nella testata della tank</t>
        </is>
      </c>
      <c r="E13" s="5" t="inlineStr">
        <is>
          <t>Vite M3 x 16 + dado + rondella</t>
        </is>
      </c>
      <c r="F13" s="4">
        <f>SUMIF($A$5:$A$34,E13,$B$5:$B$34)</f>
        <v/>
      </c>
    </row>
    <row r="14">
      <c r="A14" s="6" t="inlineStr">
        <is>
          <t>Vite M3 x 16 + dado + rondella</t>
        </is>
      </c>
      <c r="B14" s="4" t="n">
        <v>5</v>
      </c>
      <c r="C14" s="5" t="inlineStr">
        <is>
          <t>piedini della tank attraverso il fondo del bagno e il piano</t>
        </is>
      </c>
      <c r="E14" s="5" t="inlineStr">
        <is>
          <t>Vite M3 x 8</t>
        </is>
      </c>
      <c r="F14" s="4">
        <f>SUMIF($A$5:$A$34,E14,$B$5:$B$34)</f>
        <v/>
      </c>
    </row>
    <row r="15">
      <c r="A15" s="6" t="inlineStr">
        <is>
          <t>Vite M3 x 8</t>
        </is>
      </c>
      <c r="B15" s="4" t="n">
        <v>6</v>
      </c>
      <c r="C15" s="5" t="inlineStr">
        <is>
          <t>motoriduttore sulla staffa B20 (sei fori del riduttore)</t>
        </is>
      </c>
      <c r="E15" s="5" t="inlineStr">
        <is>
          <t>Vite M3 x 8 + dado</t>
        </is>
      </c>
      <c r="F15" s="4">
        <f>SUMIF($A$5:$A$34,E15,$B$5:$B$34)</f>
        <v/>
      </c>
    </row>
    <row r="16">
      <c r="A16" s="6" t="inlineStr">
        <is>
          <t>Vite M3 x 8 + dado</t>
        </is>
      </c>
      <c r="B16" s="4" t="n">
        <v>2</v>
      </c>
      <c r="C16" s="5" t="inlineStr">
        <is>
          <t>piedi della staffa B20 sul fondo del vano (asole)</t>
        </is>
      </c>
      <c r="E16" s="5" t="inlineStr">
        <is>
          <t>Grano M3 x 6</t>
        </is>
      </c>
      <c r="F16" s="4">
        <f>SUMIF($A$5:$A$34,E16,$B$5:$B$34)</f>
        <v/>
      </c>
    </row>
    <row r="17">
      <c r="A17" s="6" t="inlineStr">
        <is>
          <t>Grano M3 x 6</t>
        </is>
      </c>
      <c r="B17" s="4" t="n">
        <v>1</v>
      </c>
      <c r="C17" s="5" t="inlineStr">
        <is>
          <t>disco motore B18 sulla spianatura dell'albero</t>
        </is>
      </c>
      <c r="E17" s="5" t="inlineStr">
        <is>
          <t>Vite autofilettante 3 x 12</t>
        </is>
      </c>
      <c r="F17" s="4">
        <f>SUMIF($A$5:$A$34,E17,$B$5:$B$34)</f>
        <v/>
      </c>
    </row>
    <row r="18">
      <c r="A18" s="6" t="inlineStr">
        <is>
          <t>Vite autofilettante 3 x 12</t>
        </is>
      </c>
      <c r="B18" s="4" t="n">
        <v>2</v>
      </c>
      <c r="C18" s="5" t="inlineStr">
        <is>
          <t>staffa Hall B21, dal retro della piastra del motore B20</t>
        </is>
      </c>
      <c r="E18" s="5" t="inlineStr">
        <is>
          <t>Vite M3 x 10 a testa zigrinata</t>
        </is>
      </c>
      <c r="F18" s="4">
        <f>SUMIF($A$5:$A$34,E18,$B$5:$B$34)</f>
        <v/>
      </c>
    </row>
    <row r="19">
      <c r="A19" s="6" t="inlineStr">
        <is>
          <t>Vite M3 x 10</t>
        </is>
      </c>
      <c r="B19" s="4" t="n">
        <v>1</v>
      </c>
      <c r="C19" s="5" t="inlineStr">
        <is>
          <t>ritegno del perno folle</t>
        </is>
      </c>
      <c r="E19" s="5" t="inlineStr">
        <is>
          <t>Vite da legno 3,5 x 12</t>
        </is>
      </c>
      <c r="F19" s="4">
        <f>SUMIF($A$5:$A$34,E19,$B$5:$B$34)</f>
        <v/>
      </c>
    </row>
    <row r="20">
      <c r="A20" s="6" t="inlineStr">
        <is>
          <t>Vite M3 x 10 a testa zigrinata</t>
        </is>
      </c>
      <c r="B20" s="4" t="n">
        <v>2</v>
      </c>
      <c r="C20" s="5" t="inlineStr">
        <is>
          <t>blocco delle slitte B14 e B15</t>
        </is>
      </c>
      <c r="E20" s="5" t="inlineStr">
        <is>
          <t>Vite da legno 3,5 x 16 svasata nera</t>
        </is>
      </c>
      <c r="F20" s="4">
        <f>SUMIF($A$5:$A$34,E20,$B$5:$B$34)</f>
        <v/>
      </c>
    </row>
    <row r="21">
      <c r="A21" s="6" t="inlineStr">
        <is>
          <t>Vite da legno 3,5 x 12</t>
        </is>
      </c>
      <c r="B21" s="4" t="n">
        <v>3</v>
      </c>
      <c r="C21" s="5" t="inlineStr">
        <is>
          <t>collettore C01</t>
        </is>
      </c>
      <c r="E21" s="11" t="inlineStr">
        <is>
          <t>Totale viti</t>
        </is>
      </c>
      <c r="F21" s="20">
        <f>SUM(F5:F20)</f>
        <v/>
      </c>
    </row>
    <row r="22">
      <c r="A22" s="6" t="inlineStr">
        <is>
          <t>Vite da legno 3,5 x 12</t>
        </is>
      </c>
      <c r="B22" s="4" t="n">
        <v>4</v>
      </c>
      <c r="C22" s="5" t="inlineStr">
        <is>
          <t>culla delle valvole C02</t>
        </is>
      </c>
    </row>
    <row r="23">
      <c r="A23" s="6" t="inlineStr">
        <is>
          <t>Vite da legno 3,5 x 12</t>
        </is>
      </c>
      <c r="B23" s="4" t="n">
        <v>2</v>
      </c>
      <c r="C23" s="5" t="inlineStr">
        <is>
          <t>culla del flussimetro C04</t>
        </is>
      </c>
    </row>
    <row r="24">
      <c r="A24" s="6" t="inlineStr">
        <is>
          <t>Vite da legno 3,5 x 12</t>
        </is>
      </c>
      <c r="B24" s="4" t="n">
        <v>2</v>
      </c>
      <c r="C24" s="5" t="inlineStr">
        <is>
          <t>culla della valvola dell'ingresso C07</t>
        </is>
      </c>
    </row>
    <row r="25">
      <c r="A25" s="6" t="inlineStr">
        <is>
          <t>Vite da legno 3,5 x 12</t>
        </is>
      </c>
      <c r="B25" s="4" t="n">
        <v>3</v>
      </c>
      <c r="C25" s="5" t="inlineStr">
        <is>
          <t>culla della Kamoer C08</t>
        </is>
      </c>
    </row>
    <row r="26">
      <c r="A26" s="6" t="inlineStr">
        <is>
          <t>Vite da legno 3,5 x 12</t>
        </is>
      </c>
      <c r="B26" s="4" t="n">
        <v>4</v>
      </c>
      <c r="C26" s="5" t="inlineStr">
        <is>
          <t>fermi dell'alimentatore C09</t>
        </is>
      </c>
    </row>
    <row r="27">
      <c r="A27" s="6" t="inlineStr">
        <is>
          <t>Vite da legno 3,5 x 12</t>
        </is>
      </c>
      <c r="B27" s="4" t="n">
        <v>2</v>
      </c>
      <c r="C27" s="5" t="inlineStr">
        <is>
          <t>piedi dei montanti della mainboard C10 (nella base)</t>
        </is>
      </c>
    </row>
    <row r="28">
      <c r="A28" s="6" t="inlineStr">
        <is>
          <t>Vite da legno 3,5 x 12</t>
        </is>
      </c>
      <c r="B28" s="4" t="n">
        <v>2</v>
      </c>
      <c r="C28" s="5" t="inlineStr">
        <is>
          <t>linguette dei montanti C10 (nel piano, da sotto)</t>
        </is>
      </c>
    </row>
    <row r="29">
      <c r="A29" s="6" t="inlineStr">
        <is>
          <t>Vite M3 x 8</t>
        </is>
      </c>
      <c r="B29" s="4" t="n">
        <v>4</v>
      </c>
      <c r="C29" s="5" t="inlineStr">
        <is>
          <t>mainboard sui boss dei montanti C10</t>
        </is>
      </c>
    </row>
    <row r="30">
      <c r="A30" s="6" t="inlineStr">
        <is>
          <t>Vite da legno 3,5 x 12</t>
        </is>
      </c>
      <c r="B30" s="4" t="n">
        <v>4</v>
      </c>
      <c r="C30" s="5" t="inlineStr">
        <is>
          <t>colonne del piano C13 (nella base)</t>
        </is>
      </c>
    </row>
    <row r="31">
      <c r="A31" s="6" t="inlineStr">
        <is>
          <t>Vite da legno 3,5 x 12</t>
        </is>
      </c>
      <c r="B31" s="4" t="n">
        <v>2</v>
      </c>
      <c r="C31" s="5" t="inlineStr">
        <is>
          <t>colonne del piano C13 (nel piano, da sopra)</t>
        </is>
      </c>
    </row>
    <row r="32">
      <c r="A32" s="6" t="inlineStr">
        <is>
          <t>Vite da legno 3,5 x 16 svasata nera</t>
        </is>
      </c>
      <c r="B32" s="4" t="n">
        <v>12</v>
      </c>
      <c r="C32" s="5" t="inlineStr">
        <is>
          <t>pannelli del guscio nel bordo della base (3 per pannello)</t>
        </is>
      </c>
    </row>
    <row r="33">
      <c r="A33" s="6" t="inlineStr">
        <is>
          <t>Vite autofilettante 3 x 8</t>
        </is>
      </c>
      <c r="B33" s="4" t="n">
        <v>4</v>
      </c>
      <c r="C33" s="5" t="inlineStr">
        <is>
          <t>linguette D10 del display sulla cornice C12</t>
        </is>
      </c>
    </row>
    <row r="34">
      <c r="A34" s="6" t="inlineStr">
        <is>
          <t>Vite da legno 3,5 x 12</t>
        </is>
      </c>
      <c r="B34" s="4" t="n">
        <v>8</v>
      </c>
      <c r="C34" s="5" t="inlineStr">
        <is>
          <t>piano del piedistallo sui montanti e sulle colonne (dall'alto)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46" customWidth="1" min="4" max="4"/>
    <col width="9" customWidth="1" min="5" max="5"/>
    <col width="9" customWidth="1" min="6" max="6"/>
    <col width="10" customWidth="1" min="7" max="7"/>
    <col width="12" customWidth="1" min="8" max="8"/>
    <col width="26" customWidth="1" min="9" max="9"/>
  </cols>
  <sheetData>
    <row r="1">
      <c r="A1" s="1" t="inlineStr">
        <is>
          <t>Pannelli da tagliare (Dibond 3 mm, PMMA 4 mm e 3 mm)</t>
        </is>
      </c>
    </row>
    <row r="2" ht="30" customHeight="1">
      <c r="A2" s="2" t="inlineStr">
        <is>
          <t>Un file DXF per pannello in docs/pannelli/ (mm, vista dalla faccia esterna) e il PDF pannelli.pdf con quote e fori. Si possono mandare cosi' come sono a un servizio di taglio CNC; il prezzo al m2 (in blu) e' una stima.</t>
        </is>
      </c>
    </row>
    <row r="3">
      <c r="A3" s="17" t="inlineStr">
        <is>
          <t>Prezzo Dibond tagliato (€/m2)</t>
        </is>
      </c>
      <c r="B3" s="24" t="n">
        <v>60</v>
      </c>
      <c r="C3" s="17" t="inlineStr">
        <is>
          <t>Prezzo plexiglass tagliato (€/m2)</t>
        </is>
      </c>
      <c r="D3" s="24" t="n">
        <v>110</v>
      </c>
    </row>
    <row r="5" ht="30" customHeight="1">
      <c r="A5" s="3" t="inlineStr">
        <is>
          <t>Pannello</t>
        </is>
      </c>
      <c r="B5" s="3" t="inlineStr">
        <is>
          <t>Larghezza (mm)</t>
        </is>
      </c>
      <c r="C5" s="3" t="inlineStr">
        <is>
          <t>Altezza (mm)</t>
        </is>
      </c>
      <c r="D5" s="3" t="inlineStr">
        <is>
          <t>Materiale</t>
        </is>
      </c>
      <c r="E5" s="3" t="inlineStr">
        <is>
          <t>Fori tondi</t>
        </is>
      </c>
      <c r="F5" s="3" t="inlineStr">
        <is>
          <t>Aperture</t>
        </is>
      </c>
      <c r="G5" s="3" t="inlineStr">
        <is>
          <t>Area (m2)</t>
        </is>
      </c>
      <c r="H5" s="3" t="inlineStr">
        <is>
          <t>Costo stimato (€)</t>
        </is>
      </c>
      <c r="I5" s="3" t="inlineStr">
        <is>
          <t>File DXF</t>
        </is>
      </c>
    </row>
    <row r="6">
      <c r="A6" s="6" t="inlineStr">
        <is>
          <t>pannello frontale</t>
        </is>
      </c>
      <c r="B6" s="19" t="n">
        <v>521.5</v>
      </c>
      <c r="C6" s="19" t="n">
        <v>285</v>
      </c>
      <c r="D6" s="5" t="inlineStr">
        <is>
          <t>Dibond 3 mm, grigio chiaro o alluminio spazzolato</t>
        </is>
      </c>
      <c r="E6" s="4" t="n">
        <v>7</v>
      </c>
      <c r="F6" s="4" t="n">
        <v>1</v>
      </c>
      <c r="G6" s="25">
        <f>B6*C6/1000000</f>
        <v/>
      </c>
      <c r="H6" s="9">
        <f>G6*IF(ISNUMBER(SEARCH("PMMA",D6)),$D$3,$B$3)</f>
        <v/>
      </c>
      <c r="I6" s="5" t="inlineStr">
        <is>
          <t>docs/pannelli/pannello_frontale.dxf</t>
        </is>
      </c>
    </row>
    <row r="7">
      <c r="A7" s="6" t="inlineStr">
        <is>
          <t>pannello posteriore</t>
        </is>
      </c>
      <c r="B7" s="19" t="n">
        <v>521.5</v>
      </c>
      <c r="C7" s="19" t="n">
        <v>285</v>
      </c>
      <c r="D7" s="5" t="inlineStr">
        <is>
          <t>Dibond 3 mm, come il frontale</t>
        </is>
      </c>
      <c r="E7" s="4" t="n">
        <v>131</v>
      </c>
      <c r="F7" s="4" t="n">
        <v>2</v>
      </c>
      <c r="G7" s="25">
        <f>B7*C7/1000000</f>
        <v/>
      </c>
      <c r="H7" s="9">
        <f>G7*IF(ISNUMBER(SEARCH("PMMA",D7)),$D$3,$B$3)</f>
        <v/>
      </c>
      <c r="I7" s="5" t="inlineStr">
        <is>
          <t>docs/pannelli/pannello_posteriore.dxf</t>
        </is>
      </c>
    </row>
    <row r="8">
      <c r="A8" s="6" t="inlineStr">
        <is>
          <t>pannello sinistro</t>
        </is>
      </c>
      <c r="B8" s="19" t="n">
        <v>227.7</v>
      </c>
      <c r="C8" s="19" t="n">
        <v>285</v>
      </c>
      <c r="D8" s="5" t="inlineStr">
        <is>
          <t>Dibond 3 mm, come il frontale</t>
        </is>
      </c>
      <c r="E8" s="4" t="n">
        <v>317</v>
      </c>
      <c r="F8" s="4" t="n">
        <v>0</v>
      </c>
      <c r="G8" s="25">
        <f>B8*C8/1000000</f>
        <v/>
      </c>
      <c r="H8" s="9">
        <f>G8*IF(ISNUMBER(SEARCH("PMMA",D8)),$D$3,$B$3)</f>
        <v/>
      </c>
      <c r="I8" s="5" t="inlineStr">
        <is>
          <t>docs/pannelli/pannello_sinistro.dxf</t>
        </is>
      </c>
    </row>
    <row r="9">
      <c r="A9" s="6" t="inlineStr">
        <is>
          <t>pannello destro</t>
        </is>
      </c>
      <c r="B9" s="19" t="n">
        <v>227.7</v>
      </c>
      <c r="C9" s="19" t="n">
        <v>285</v>
      </c>
      <c r="D9" s="5" t="inlineStr">
        <is>
          <t>Dibond 3 mm, come il frontale</t>
        </is>
      </c>
      <c r="E9" s="4" t="n">
        <v>135</v>
      </c>
      <c r="F9" s="4" t="n">
        <v>0</v>
      </c>
      <c r="G9" s="25">
        <f>B9*C9/1000000</f>
        <v/>
      </c>
      <c r="H9" s="9">
        <f>G9*IF(ISNUMBER(SEARCH("PMMA",D9)),$D$3,$B$3)</f>
        <v/>
      </c>
      <c r="I9" s="5" t="inlineStr">
        <is>
          <t>docs/pannelli/pannello_destro.dxf</t>
        </is>
      </c>
    </row>
    <row r="10">
      <c r="A10" s="6" t="inlineStr">
        <is>
          <t>pannello copertura</t>
        </is>
      </c>
      <c r="B10" s="19" t="n">
        <v>536.4</v>
      </c>
      <c r="C10" s="19" t="n">
        <v>242.6</v>
      </c>
      <c r="D10" s="5" t="inlineStr">
        <is>
          <t>Dibond 3 mm antracite</t>
        </is>
      </c>
      <c r="E10" s="4" t="n">
        <v>0</v>
      </c>
      <c r="F10" s="4" t="n">
        <v>1</v>
      </c>
      <c r="G10" s="25">
        <f>B10*C10/1000000</f>
        <v/>
      </c>
      <c r="H10" s="9">
        <f>G10*IF(ISNUMBER(SEARCH("PMMA",D10)),$D$3,$B$3)</f>
        <v/>
      </c>
      <c r="I10" s="5" t="inlineStr">
        <is>
          <t>docs/pannelli/pannello_copertura.dxf</t>
        </is>
      </c>
    </row>
    <row r="11">
      <c r="A11" s="6" t="inlineStr">
        <is>
          <t>bagno fondo</t>
        </is>
      </c>
      <c r="B11" s="19" t="n">
        <v>480.8</v>
      </c>
      <c r="C11" s="19" t="n">
        <v>204</v>
      </c>
      <c r="D11" s="5" t="inlineStr">
        <is>
          <t>PMMA trasparente 4 mm</t>
        </is>
      </c>
      <c r="E11" s="4" t="n">
        <v>12</v>
      </c>
      <c r="F11" s="4" t="n">
        <v>0</v>
      </c>
      <c r="G11" s="25">
        <f>B11*C11/1000000</f>
        <v/>
      </c>
      <c r="H11" s="9">
        <f>G11*IF(ISNUMBER(SEARCH("PMMA",D11)),$D$3,$B$3)</f>
        <v/>
      </c>
      <c r="I11" s="5" t="inlineStr">
        <is>
          <t>docs/pannelli/bagno_fondo.dxf</t>
        </is>
      </c>
    </row>
    <row r="12">
      <c r="A12" s="6" t="inlineStr">
        <is>
          <t>bagno fronte</t>
        </is>
      </c>
      <c r="B12" s="19" t="n">
        <v>416.6</v>
      </c>
      <c r="C12" s="19" t="n">
        <v>119</v>
      </c>
      <c r="D12" s="5" t="inlineStr">
        <is>
          <t>PMMA trasparente 4 mm, bordi lucidati (e' a vista)</t>
        </is>
      </c>
      <c r="E12" s="4" t="n">
        <v>0</v>
      </c>
      <c r="F12" s="4" t="n">
        <v>0</v>
      </c>
      <c r="G12" s="25">
        <f>B12*C12/1000000</f>
        <v/>
      </c>
      <c r="H12" s="9">
        <f>G12*IF(ISNUMBER(SEARCH("PMMA",D12)),$D$3,$B$3)</f>
        <v/>
      </c>
      <c r="I12" s="5" t="inlineStr">
        <is>
          <t>docs/pannelli/bagno_fronte.dxf</t>
        </is>
      </c>
    </row>
    <row r="13">
      <c r="A13" s="6" t="inlineStr">
        <is>
          <t>bagno retro</t>
        </is>
      </c>
      <c r="B13" s="19" t="n">
        <v>416.6</v>
      </c>
      <c r="C13" s="19" t="n">
        <v>119</v>
      </c>
      <c r="D13" s="5" t="inlineStr">
        <is>
          <t>PMMA trasparente 4 mm</t>
        </is>
      </c>
      <c r="E13" s="4" t="n">
        <v>0</v>
      </c>
      <c r="F13" s="4" t="n">
        <v>0</v>
      </c>
      <c r="G13" s="25">
        <f>B13*C13/1000000</f>
        <v/>
      </c>
      <c r="H13" s="9">
        <f>G13*IF(ISNUMBER(SEARCH("PMMA",D13)),$D$3,$B$3)</f>
        <v/>
      </c>
      <c r="I13" s="5" t="inlineStr">
        <is>
          <t>docs/pannelli/bagno_retro.dxf</t>
        </is>
      </c>
    </row>
    <row r="14">
      <c r="A14" s="6" t="inlineStr">
        <is>
          <t>bagno destra</t>
        </is>
      </c>
      <c r="B14" s="19" t="n">
        <v>196</v>
      </c>
      <c r="C14" s="19" t="n">
        <v>119</v>
      </c>
      <c r="D14" s="5" t="inlineStr">
        <is>
          <t>PMMA trasparente 4 mm</t>
        </is>
      </c>
      <c r="E14" s="4" t="n">
        <v>2</v>
      </c>
      <c r="F14" s="4" t="n">
        <v>0</v>
      </c>
      <c r="G14" s="25">
        <f>B14*C14/1000000</f>
        <v/>
      </c>
      <c r="H14" s="9">
        <f>G14*IF(ISNUMBER(SEARCH("PMMA",D14)),$D$3,$B$3)</f>
        <v/>
      </c>
      <c r="I14" s="5" t="inlineStr">
        <is>
          <t>docs/pannelli/bagno_destra.dxf</t>
        </is>
      </c>
    </row>
    <row r="15">
      <c r="A15" s="6" t="inlineStr">
        <is>
          <t>bagno sinistra</t>
        </is>
      </c>
      <c r="B15" s="19" t="n">
        <v>196</v>
      </c>
      <c r="C15" s="19" t="n">
        <v>103</v>
      </c>
      <c r="D15" s="5" t="inlineStr">
        <is>
          <t>PMMA trasparente 4 mm (finestra della testata e fori delle viti della cornice)</t>
        </is>
      </c>
      <c r="E15" s="4" t="n">
        <v>8</v>
      </c>
      <c r="F15" s="4" t="n">
        <v>1</v>
      </c>
      <c r="G15" s="25">
        <f>B15*C15/1000000</f>
        <v/>
      </c>
      <c r="H15" s="9">
        <f>G15*IF(ISNUMBER(SEARCH("PMMA",D15)),$D$3,$B$3)</f>
        <v/>
      </c>
      <c r="I15" s="5" t="inlineStr">
        <is>
          <t>docs/pannelli/bagno_sinistra.dxf</t>
        </is>
      </c>
    </row>
    <row r="16">
      <c r="A16" s="6" t="inlineStr">
        <is>
          <t>bagno coperchio</t>
        </is>
      </c>
      <c r="B16" s="19" t="n">
        <v>416.6</v>
      </c>
      <c r="C16" s="19" t="n">
        <v>204</v>
      </c>
      <c r="D16" s="5" t="inlineStr">
        <is>
          <t>PMMA trasparente 3 mm, bordi smussati</t>
        </is>
      </c>
      <c r="E16" s="4" t="n">
        <v>5</v>
      </c>
      <c r="F16" s="4" t="n">
        <v>3</v>
      </c>
      <c r="G16" s="25">
        <f>B16*C16/1000000</f>
        <v/>
      </c>
      <c r="H16" s="9">
        <f>G16*IF(ISNUMBER(SEARCH("PMMA",D16)),$D$3,$B$3)</f>
        <v/>
      </c>
      <c r="I16" s="5" t="inlineStr">
        <is>
          <t>docs/pannelli/bagno_coperchio.dxf</t>
        </is>
      </c>
    </row>
    <row r="17">
      <c r="A17" s="6" t="inlineStr">
        <is>
          <t>piano multistrato</t>
        </is>
      </c>
      <c r="B17" s="19" t="n">
        <v>525.8</v>
      </c>
      <c r="C17" s="19" t="n">
        <v>232</v>
      </c>
      <c r="D17" s="5" t="inlineStr">
        <is>
          <t>Multistrato 12 mm (fori dei passaparete e dei cavi, angoli tagliati)</t>
        </is>
      </c>
      <c r="E17" s="4" t="n">
        <v>10</v>
      </c>
      <c r="F17" s="4" t="n">
        <v>0</v>
      </c>
      <c r="G17" s="25">
        <f>B17*C17/1000000</f>
        <v/>
      </c>
      <c r="H17" s="9">
        <f>G17*IF(ISNUMBER(SEARCH("PMMA",D17)),$D$3,$B$3)</f>
        <v/>
      </c>
      <c r="I17" s="5" t="inlineStr">
        <is>
          <t>docs/pannelli/piano_multistrato.dxf</t>
        </is>
      </c>
    </row>
    <row r="18">
      <c r="A18" s="11" t="inlineStr">
        <is>
          <t>TOTALE</t>
        </is>
      </c>
      <c r="B18" s="10" t="n"/>
      <c r="C18" s="10" t="n"/>
      <c r="D18" s="10" t="n"/>
      <c r="E18" s="10" t="n"/>
      <c r="F18" s="10" t="n"/>
      <c r="G18" s="26">
        <f>SUM(G6:G17)</f>
        <v/>
      </c>
      <c r="H18" s="12">
        <f>SUM(H6:H17)</f>
        <v/>
      </c>
      <c r="I18" s="10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2026-10-20T20:05:27Z</dcterms:created>
  <dcterms:modified xmlns:dcterms="http://purl.org/dc/terms/" xmlns:xsi="http://www.w3.org/2001/XMLSchema-instance" xsi:type="dcterms:W3CDTF">2026-10-20T20:05:27Z</dcterms:modified>
</cp:coreProperties>
</file>