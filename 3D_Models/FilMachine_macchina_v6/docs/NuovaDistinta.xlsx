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 acquistare" sheetId="1" state="visible" r:id="rId3"/>
    <sheet name="Già acquistati" sheetId="2" state="visible" r:id="rId4"/>
    <sheet name="Pezzi stampati" sheetId="3" state="visible" r:id="rId5"/>
    <sheet name="Viteria" sheetId="4" state="visible" r:id="rId6"/>
    <sheet name="Pannell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<sst xmlns="http://schemas.openxmlformats.org/spreadsheetml/2006/main" count="709" uniqueCount="509">
  <si>
    <t xml:space="preserve">FilMachine - nuova distinta: componenti da acquistare</t>
  </si>
  <si>
    <t xml:space="preserve">Prezzi unitari in blu: stime indicative (ottobre 2026), da verificare all'acquisto. Controllati sul web: contenitore Euro RS PRO 400 x 300 x 220 = 27,05 € IVA inclusa (it.rs-online.com, codice 725-9151); elettrovalvola: prezzo della distinta originale. Alimentatore LRS-350-12: prezzo indicativo dei distributori.</t>
  </si>
  <si>
    <t xml:space="preserve">N.</t>
  </si>
  <si>
    <t xml:space="preserve">Gruppo</t>
  </si>
  <si>
    <t xml:space="preserve">Componente</t>
  </si>
  <si>
    <t xml:space="preserve">Specifiche</t>
  </si>
  <si>
    <t xml:space="preserve">Q.tà</t>
  </si>
  <si>
    <t xml:space="preserve">Unità</t>
  </si>
  <si>
    <t xml:space="preserve">Prezzo unitario indicativo (€)</t>
  </si>
  <si>
    <t xml:space="preserve">Totale (€)</t>
  </si>
  <si>
    <t xml:space="preserve">Dove si usa</t>
  </si>
  <si>
    <t xml:space="preserve">Note</t>
  </si>
  <si>
    <t xml:space="preserve">Bagno e vaschette</t>
  </si>
  <si>
    <t xml:space="preserve">Contenitore Euro 400 x 300 x 220 mm (RS PRO, codice RS 725-9151)</t>
  </si>
  <si>
    <t xml:space="preserve">polipropilene, pareti e fondo CHIUSI (non forato); interno circa 365 x 265 x 215</t>
  </si>
  <si>
    <t xml:space="preserve">pz</t>
  </si>
  <si>
    <t xml:space="preserve">bagno termostatico</t>
  </si>
  <si>
    <t xml:space="preserve">regge 70 °C; quattro fori nella parete corta destra: due Ø16,5 (riscaldatori), uno Ø22 (troppopieno), uno Ø21,5 (rubinetto); posizioni in verifiche.txt</t>
  </si>
  <si>
    <t xml:space="preserve">Vaschetta Gastronorm GN 1/9, altezza 150 mm, in polipropilene</t>
  </si>
  <si>
    <t xml:space="preserve">176 x 108 mm, 1,5 l, con coperchio</t>
  </si>
  <si>
    <t xml:space="preserve">chimiche C1, C2, C3</t>
  </si>
  <si>
    <t xml:space="preserve">un foro Ø16,4 al centro del fondo (punta a gradino) per l'innesto dal basso C11/C12</t>
  </si>
  <si>
    <t xml:space="preserve">Tubo quadro di alluminio 15 x 15 x 1,5 mm</t>
  </si>
  <si>
    <t xml:space="preserve">barra da 1 m (servono due spezzoni da 356 mm)</t>
  </si>
  <si>
    <t xml:space="preserve">longheroni che reggono le vaschette</t>
  </si>
  <si>
    <t xml:space="preserve">O-ring 13 x 2 in EPDM</t>
  </si>
  <si>
    <t xml:space="preserve">codolo dell'innesto C12 (uno per vaschetta)</t>
  </si>
  <si>
    <t xml:space="preserve">2 di scorta</t>
  </si>
  <si>
    <t xml:space="preserve">O-ring 6 x 1,5 in EPDM</t>
  </si>
  <si>
    <t xml:space="preserve">otturatore C13 (uno per vaschetta)</t>
  </si>
  <si>
    <t xml:space="preserve">Guarnizione piana in EPDM 16,5 x 26 x 2 mm</t>
  </si>
  <si>
    <t xml:space="preserve">o ritagliata da un foglio di EPDM da 2 mm con due fustelle</t>
  </si>
  <si>
    <t xml:space="preserve">tra flangia di C11 e fondo della vaschetta</t>
  </si>
  <si>
    <t xml:space="preserve">Molla a compressione inox Ø7 x 32 mm, filo 0,4</t>
  </si>
  <si>
    <t xml:space="preserve">richiamo dell'otturatore C13</t>
  </si>
  <si>
    <t xml:space="preserve">2 di scorta; precarico circa 0,5 N</t>
  </si>
  <si>
    <t xml:space="preserve">Dado basso M16 inox + 2 guarnizioni piane in silicone 16 x 24 x 2</t>
  </si>
  <si>
    <t xml:space="preserve">una serie per riscaldatore</t>
  </si>
  <si>
    <t xml:space="preserve">serie</t>
  </si>
  <si>
    <t xml:space="preserve">passaggio dei riscaldatori nella parete del bagno</t>
  </si>
  <si>
    <t xml:space="preserve">controllare il passo del filetto sul riscaldatore</t>
  </si>
  <si>
    <t xml:space="preserve">Termostato bimetallico KSD301 normalmente chiuso, 60 °C, 10 A</t>
  </si>
  <si>
    <t xml:space="preserve">sicurezza, in serie a ogni riscaldatore</t>
  </si>
  <si>
    <t xml:space="preserve">i riscaldatori non devono mai lavorare a secco</t>
  </si>
  <si>
    <t xml:space="preserve">Passaparete 1/2" con portagomma a gomito da 16 mm</t>
  </si>
  <si>
    <t xml:space="preserve">con dado e guarnizione</t>
  </si>
  <si>
    <t xml:space="preserve">troppopieno del bagno (foro Ø22 nella parete del contenitore)</t>
  </si>
  <si>
    <t xml:space="preserve">Tubo in PVC cristal 12 x 16 mm</t>
  </si>
  <si>
    <t xml:space="preserve">3 m</t>
  </si>
  <si>
    <t xml:space="preserve">troppopieno del bagno e uscita del rubinetto del bagno, fino a un secchio o al lavandino</t>
  </si>
  <si>
    <t xml:space="preserve">Passaparete in PP 1/2" a filetto lungo (almeno 60 mm), con due dadi e guarnizioni</t>
  </si>
  <si>
    <t xml:space="preserve">foro Ø21,5 nel contenitore, Ø23 nel pannello</t>
  </si>
  <si>
    <t xml:space="preserve">rubinetto del bagno: attraversa la parete del contenitore e il pannello destro</t>
  </si>
  <si>
    <t xml:space="preserve">un dado dentro il bagno, flangia e guarnizione fuori, secondo dado sul pannello</t>
  </si>
  <si>
    <t xml:space="preserve">Gomito 1/2" F-F in PP + nipplo 1/2" M-M corto (30 mm)</t>
  </si>
  <si>
    <t xml:space="preserve">pescante del rubinetto del bagno, dentro il contenitore</t>
  </si>
  <si>
    <t xml:space="preserve">il nipplo va accorciato perche' arrivi a 4 mm dal fondo</t>
  </si>
  <si>
    <t xml:space="preserve">Rubinetto a sfera 1/2" F x portagomma 16 mm, in PP o PVC</t>
  </si>
  <si>
    <t xml:space="preserve">rubinetto del bagno, fuori dal pannello destro</t>
  </si>
  <si>
    <t xml:space="preserve">con il tubo 12 x 16 verso un secchio piu' in basso della macchina: il bagno si svuota per sifone</t>
  </si>
  <si>
    <t xml:space="preserve">Nastro biadesivo per esterni (tipo VHB) 19 mm</t>
  </si>
  <si>
    <t xml:space="preserve">rotolo corto</t>
  </si>
  <si>
    <t xml:space="preserve">sensori di livello del bagno sulla parete del contenitore, supporto dell'altoparlante</t>
  </si>
  <si>
    <t xml:space="preserve">Idraulica</t>
  </si>
  <si>
    <t xml:space="preserve">Tubo LLDPE 3/8" (9,52 x 6,35 mm) per osmosi inversa</t>
  </si>
  <si>
    <t xml:space="preserve">rotolo da 10 m (ne servono circa 3,1 dentro la macchina, il resto per il collegamento al rubinetto)</t>
  </si>
  <si>
    <t xml:space="preserve">tutte le linee interne e l'ingresso dell'acqua</t>
  </si>
  <si>
    <t xml:space="preserve">Elettrovalvola 12 V normalmente chiusa, 3/8" a innesto (uguale alle altre cinque)</t>
  </si>
  <si>
    <t xml:space="preserve">valvola dell'ingresso dell'acqua di rete (sotto il piano del cavalletto)</t>
  </si>
  <si>
    <t xml:space="preserve">la sesta: le cinque già acquistate stanno sul collettore. Montarla con la freccia verso il bagno</t>
  </si>
  <si>
    <t xml:space="preserve">Gomito a innesto rapido 3/8" - 3/8"</t>
  </si>
  <si>
    <t xml:space="preserve">per tubo da 9,52 mm</t>
  </si>
  <si>
    <t xml:space="preserve">1 sopra la valvola dello scarico, 1 ai piedi della salita verso la tank, 5 sulla linea dell'ingresso</t>
  </si>
  <si>
    <t xml:space="preserve">2 di scorta; meglio in polipropilene</t>
  </si>
  <si>
    <t xml:space="preserve">Gomito a codolo 3/8" (un lato a innesto, l'altro a codolo liscio da 9,52 mm)</t>
  </si>
  <si>
    <t xml:space="preserve">in inglese "stem elbow"</t>
  </si>
  <si>
    <t xml:space="preserve">uscita del collettore C07 verso la pompa</t>
  </si>
  <si>
    <t xml:space="preserve">uno di scorta; codolo lungo almeno 33 mm dall'angolo</t>
  </si>
  <si>
    <t xml:space="preserve">Raccordo diritto: filetto maschio 3/8" BSP - tubo 3/8" a innesto</t>
  </si>
  <si>
    <t xml:space="preserve">attacchi della pompa</t>
  </si>
  <si>
    <t xml:space="preserve">con nastro in PTFE</t>
  </si>
  <si>
    <t xml:space="preserve">Raccordo diritto: filetto FEMMINA 1/2" - tubo 3/8" a innesto</t>
  </si>
  <si>
    <t xml:space="preserve">attacchi del flussimetro YF-S201</t>
  </si>
  <si>
    <t xml:space="preserve">Passaparete a innesto rapido 3/8" - 3/8"</t>
  </si>
  <si>
    <t xml:space="preserve">foro Ø16</t>
  </si>
  <si>
    <t xml:space="preserve">attacchi SCARICO (piastra C09) e INGRESSO (piastra C16)</t>
  </si>
  <si>
    <t xml:space="preserve">Adattatore per rubinetto con valvolina, uscita tubo 3/8" (kit di alimentazione per osmosi inversa)</t>
  </si>
  <si>
    <t xml:space="preserve">filetto 1/2" o 3/4" secondo il rubinetto</t>
  </si>
  <si>
    <t xml:space="preserve">collegamento dell'ingresso INGRESSO al rubinetto dell'acqua</t>
  </si>
  <si>
    <t xml:space="preserve">pressione di rete massima 0,8 MPa (limite delle valvole)</t>
  </si>
  <si>
    <t xml:space="preserve">Tubo in silicone 8 x 12 mm, NERO</t>
  </si>
  <si>
    <t xml:space="preserve">tubo della tank, troppopieno della tank, tubi esterni verso le taniche</t>
  </si>
  <si>
    <t xml:space="preserve">nero: i tubi che arrivano alla tank non devono far passare la luce</t>
  </si>
  <si>
    <t xml:space="preserve">O-ring 9 x 2 in EPDM</t>
  </si>
  <si>
    <t xml:space="preserve">6 sedi del collettore C07, 6 delle camere C15, 3 delle prese C14, 1 dell'imbuto C20 (di scorta per i codoli)</t>
  </si>
  <si>
    <t xml:space="preserve">4 di scorta</t>
  </si>
  <si>
    <t xml:space="preserve">Fascette in nylon 2,5 x 100 mm</t>
  </si>
  <si>
    <t xml:space="preserve">confezione da 100</t>
  </si>
  <si>
    <t xml:space="preserve">conf</t>
  </si>
  <si>
    <t xml:space="preserve">valvole, sensori, cavi</t>
  </si>
  <si>
    <t xml:space="preserve">Fascette in nylon 4,8 x 200 mm</t>
  </si>
  <si>
    <t xml:space="preserve">confezione da 50</t>
  </si>
  <si>
    <t xml:space="preserve">staffe C18 (flussimetro e valvola dell'ingresso), sensori sulle camere C15</t>
  </si>
  <si>
    <t xml:space="preserve">Grasso al silicone per O-ring</t>
  </si>
  <si>
    <t xml:space="preserve">tubetto</t>
  </si>
  <si>
    <t xml:space="preserve">O-ring, codoli degli innesti, paraolio, baionetta della spirale</t>
  </si>
  <si>
    <t xml:space="preserve">Tank e caricatore</t>
  </si>
  <si>
    <t xml:space="preserve">Albero in acciaio inox Ø8 x 61 mm</t>
  </si>
  <si>
    <t xml:space="preserve">barra rettificata h6/h7, due spianature per i grani</t>
  </si>
  <si>
    <t xml:space="preserve">trasmissione della spirale</t>
  </si>
  <si>
    <t xml:space="preserve">Cuscinetto 688-2RS (8 x 16 x 5)</t>
  </si>
  <si>
    <t xml:space="preserve">meglio in acciaio inox</t>
  </si>
  <si>
    <t xml:space="preserve">cartuccia B17</t>
  </si>
  <si>
    <t xml:space="preserve">Paraolio 8 x 16 x 5</t>
  </si>
  <si>
    <t xml:space="preserve">NBR</t>
  </si>
  <si>
    <t xml:space="preserve">tenuta dell'albero verso la vasca</t>
  </si>
  <si>
    <t xml:space="preserve">Rondella inox M8 (8,4 x 16 x 1,6)</t>
  </si>
  <si>
    <t xml:space="preserve">reggispinta tra trascinatore e cartuccia</t>
  </si>
  <si>
    <t xml:space="preserve">O-ring 24 x 2</t>
  </si>
  <si>
    <t xml:space="preserve">tenuta della flangia della cartuccia</t>
  </si>
  <si>
    <t xml:space="preserve">O-ring 80 x 3 in EPDM</t>
  </si>
  <si>
    <t xml:space="preserve">cinghia tonda tra motore e spirale</t>
  </si>
  <si>
    <t xml:space="preserve">uno di scorta</t>
  </si>
  <si>
    <t xml:space="preserve">Magneti al neodimio Ø6 x 3</t>
  </si>
  <si>
    <t xml:space="preserve">confezione da 10 (ne servono 4)</t>
  </si>
  <si>
    <t xml:space="preserve">ruota magneti del sensore Hall</t>
  </si>
  <si>
    <t xml:space="preserve">Molla a compressione Ø6 x 22 mm, filo 0,5</t>
  </si>
  <si>
    <t xml:space="preserve">perno folle a molla</t>
  </si>
  <si>
    <t xml:space="preserve">Vite M3 x 10 a testa zigrinata (vite a mano)</t>
  </si>
  <si>
    <t xml:space="preserve">blocco delle due slitte della guida B14/B15 nelle fossette della barra B13</t>
  </si>
  <si>
    <t xml:space="preserve">si stringe a mano, senza attrezzi</t>
  </si>
  <si>
    <t xml:space="preserve">Fascetta della Lab-Box, già fatta</t>
  </si>
  <si>
    <t xml:space="preserve">fascetta trasparente 14,5 x 0,15 mm con il piolino sul capo (3,25 x 15,8 mm), ricambio Ars-Imago</t>
  </si>
  <si>
    <t xml:space="preserve">passa nel tubo A03 da parte a parte, tra i due collarini: si infila dalla finestra larga e il perno resta dentro, contro la finestra stretta</t>
  </si>
  <si>
    <t xml:space="preserve">si compra già fatta; prezzo da verificare. Le finestre del tubo sono fatte sulle sue misure</t>
  </si>
  <si>
    <t xml:space="preserve">Micro-servo MG90S</t>
  </si>
  <si>
    <t xml:space="preserve">con squadretta a un braccio</t>
  </si>
  <si>
    <t xml:space="preserve">taglierina</t>
  </si>
  <si>
    <t xml:space="preserve">Lame di ricambio per cutter da 9 mm</t>
  </si>
  <si>
    <t xml:space="preserve">confezione da 10</t>
  </si>
  <si>
    <t xml:space="preserve">due spezzoni da 36 mm nella taglierina</t>
  </si>
  <si>
    <t xml:space="preserve">Velluto nero adesivo</t>
  </si>
  <si>
    <t xml:space="preserve">striscia da 1 m</t>
  </si>
  <si>
    <t xml:space="preserve">guarnizione di luce su coperchio e fessura</t>
  </si>
  <si>
    <t xml:space="preserve">facoltativo, da decidere dopo la prova di tenuta alla luce</t>
  </si>
  <si>
    <t xml:space="preserve">Elettrico</t>
  </si>
  <si>
    <t xml:space="preserve">Alimentatore Mean Well LRS-350-12 (12 V, 29 A)</t>
  </si>
  <si>
    <t xml:space="preserve">215 x 115 x 30 mm, ventola a controllo di temperatura</t>
  </si>
  <si>
    <t xml:space="preserve">in piedi nello zoccolo D16 contro la paratia</t>
  </si>
  <si>
    <t xml:space="preserve">sostituisce il 12 V 30 A già acquistato, che non entra nel vano</t>
  </si>
  <si>
    <t xml:space="preserve">Presa IEC C14 da pannello con interruttore e portafusibile</t>
  </si>
  <si>
    <t xml:space="preserve">foro 27,5 x 47,5 mm</t>
  </si>
  <si>
    <t xml:space="preserve">pannello sinistro, vano elettronica</t>
  </si>
  <si>
    <t xml:space="preserve">Cavo di alimentazione con spina e connettore IEC C13</t>
  </si>
  <si>
    <t xml:space="preserve">Dissipatori adesivi per TO-220</t>
  </si>
  <si>
    <t xml:space="preserve">confezione</t>
  </si>
  <si>
    <t xml:space="preserve">i due MOSFET del modulo IRF540 dei riscaldatori</t>
  </si>
  <si>
    <t xml:space="preserve">a 8,3 A per canale l'IRF540 scalda: dissipatori e ripiano basso, vicino alle griglie d'aria</t>
  </si>
  <si>
    <t xml:space="preserve">Portafusibile a lama in linea con fusibile</t>
  </si>
  <si>
    <t xml:space="preserve">uno da 10 A, uno da 5 A</t>
  </si>
  <si>
    <t xml:space="preserve">pompa; valvole e logica</t>
  </si>
  <si>
    <t xml:space="preserve">consigliati</t>
  </si>
  <si>
    <t xml:space="preserve">Cavo unipolare 1,5 mm2 rosso e nero</t>
  </si>
  <si>
    <t xml:space="preserve">5 m + 5 m</t>
  </si>
  <si>
    <t xml:space="preserve">linee a 12 V di riscaldatori e pompa</t>
  </si>
  <si>
    <t xml:space="preserve">Cavetti per segnali, puntalini, connettori</t>
  </si>
  <si>
    <t xml:space="preserve">assortimento</t>
  </si>
  <si>
    <t xml:space="preserve">sensori, valvole, servo</t>
  </si>
  <si>
    <t xml:space="preserve">Passacavo in gomma Ø22</t>
  </si>
  <si>
    <t xml:space="preserve">paratia (2), divisorio (1), fianco del cavalletto (1)</t>
  </si>
  <si>
    <t xml:space="preserve">Resistenza 4,7 kohm</t>
  </si>
  <si>
    <t xml:space="preserve">pull-up del bus DS18B20</t>
  </si>
  <si>
    <t xml:space="preserve">se non e' gia' sulla scheda</t>
  </si>
  <si>
    <t xml:space="preserve">Tester per servo</t>
  </si>
  <si>
    <t xml:space="preserve">prova della taglierina senza firmware</t>
  </si>
  <si>
    <t xml:space="preserve">facoltativo</t>
  </si>
  <si>
    <t xml:space="preserve">Struttura e viteria</t>
  </si>
  <si>
    <t xml:space="preserve">Multistrato 420 x 505 x 12 mm</t>
  </si>
  <si>
    <t xml:space="preserve">tagliato a misura</t>
  </si>
  <si>
    <t xml:space="preserve">base della macchina</t>
  </si>
  <si>
    <t xml:space="preserve">verniciare o impregnare</t>
  </si>
  <si>
    <t xml:space="preserve">Pannelli in Dibond (composito di alluminio) 3 mm tagliati a misura</t>
  </si>
  <si>
    <t xml:space="preserve">7 pezzi, 0,64 m2 in tutto; misure e fori nel foglio Pannelli e nei DXF di docs/pannelli</t>
  </si>
  <si>
    <t xml:space="preserve">guscio, piano anteriore, paratia, divisorio</t>
  </si>
  <si>
    <t xml:space="preserve">colori: fianchi grigio chiaro o alluminio spazzolato, piano antracite</t>
  </si>
  <si>
    <t xml:space="preserve">Lastra di plexiglass (PMMA) trasparente 3 mm, 430,6 x 309,8 mm</t>
  </si>
  <si>
    <t xml:space="preserve">taglio a misura con 9 fori Ø6 (vedi DXF)</t>
  </si>
  <si>
    <t xml:space="preserve">coperchio del bagno</t>
  </si>
  <si>
    <t xml:space="preserve">bordi lucidati o smussati</t>
  </si>
  <si>
    <t xml:space="preserve">Piedini in gomma Ø20</t>
  </si>
  <si>
    <t xml:space="preserve">sotto la base</t>
  </si>
  <si>
    <t xml:space="preserve">Viti da legno 3,5 x 16 a testa svasata NERE</t>
  </si>
  <si>
    <t xml:space="preserve">confezione da 20 (ne servono 12)</t>
  </si>
  <si>
    <t xml:space="preserve">pannelli del guscio nel bordo della base</t>
  </si>
  <si>
    <t xml:space="preserve">svasare leggermente i fori del Dibond</t>
  </si>
  <si>
    <t xml:space="preserve">Viti da legno 3,5 x 12 a testa cilindrica</t>
  </si>
  <si>
    <t xml:space="preserve">confezione da 50 (ne servono 33)</t>
  </si>
  <si>
    <t xml:space="preserve">tutti i pezzi fissati alla base (dima)</t>
  </si>
  <si>
    <t xml:space="preserve">non piu' lunghe: la base e' spessa 12 mm</t>
  </si>
  <si>
    <t xml:space="preserve">Viti autofilettanti per plastica 3 x 8</t>
  </si>
  <si>
    <t xml:space="preserve">testa cilindrica, confezione da 50 (ne servono 16)</t>
  </si>
  <si>
    <t xml:space="preserve">vedi foglio Viteria</t>
  </si>
  <si>
    <t xml:space="preserve">Viti autofilettanti per plastica 3 x 10</t>
  </si>
  <si>
    <t xml:space="preserve">testa cilindrica, confezione da 50 (ne servono 24)</t>
  </si>
  <si>
    <t xml:space="preserve">Viti autofilettanti per plastica 3 x 16</t>
  </si>
  <si>
    <t xml:space="preserve">testa cilindrica, confezione da 20 (ne servono 8)</t>
  </si>
  <si>
    <t xml:space="preserve">Viti M3 x 10 a testa svasata con dado</t>
  </si>
  <si>
    <t xml:space="preserve">8 pezzi</t>
  </si>
  <si>
    <t xml:space="preserve">piastre C09 e C16 attraverso il pannello destro</t>
  </si>
  <si>
    <t xml:space="preserve">Viti M3 x 16 con dado (10) e M3 x 10 con dado (2)</t>
  </si>
  <si>
    <t xml:space="preserve">morsetti delle schede D15; staffa dell'alimentatore D17 sulla paratia</t>
  </si>
  <si>
    <t xml:space="preserve">M3 x 12 e' troppo corta per i morsetti: morsetto 8,7 mm + ripiano 3 mm + dado</t>
  </si>
  <si>
    <t xml:space="preserve">Minuteria della tank: 3 grani M3 x 6 con dado M3, 4 viti autofilettanti M2 x 6, 1 vite M2,5 x 8, 2 viti M3 x 8, 2 viti M3 x 10, 1 vite M3 x 5</t>
  </si>
  <si>
    <t xml:space="preserve">trascinatore, pulegge, morsetti lama, manovella, motoriduttore, perno folle, modulo Hall</t>
  </si>
  <si>
    <t xml:space="preserve">una delle M3 x 10 fa da spinotto tra biella e portalama</t>
  </si>
  <si>
    <t xml:space="preserve">Viti per lamiera: 2,9 x 13 a testa svasata (6) e 2,9 x 9,5 a testa cilindrica (8)</t>
  </si>
  <si>
    <t xml:space="preserve">una confezione piccola per misura</t>
  </si>
  <si>
    <t xml:space="preserve">fermi girevoli C03; portasensori C04 e portasonde C06 sui longheroni</t>
  </si>
  <si>
    <t xml:space="preserve">forare l'alluminio a 2,4 mm</t>
  </si>
  <si>
    <t xml:space="preserve">Viti M4 x 12</t>
  </si>
  <si>
    <t xml:space="preserve">4 pezzi</t>
  </si>
  <si>
    <t xml:space="preserve">testate del telaio C05 sotto la fascia del contenitore</t>
  </si>
  <si>
    <t xml:space="preserve">Barra filettata M3 da 131 mm con dadi e rondelle</t>
  </si>
  <si>
    <t xml:space="preserve">4 pezzi (tagliare da una barra da 1 m)</t>
  </si>
  <si>
    <t xml:space="preserve">colonna dei tre ripiani a griglia</t>
  </si>
  <si>
    <t xml:space="preserve">Filamento PETG, bobina da 1 kg</t>
  </si>
  <si>
    <t xml:space="preserve">colore a scelta (antracite consigliato per montanti e cruscotto)</t>
  </si>
  <si>
    <t xml:space="preserve">tutti i pezzi stampati</t>
  </si>
  <si>
    <t xml:space="preserve">stima: vedi foglio Pezzi stampati</t>
  </si>
  <si>
    <t xml:space="preserve">Filamento PETG TRASPARENTE, bobina da 1 kg</t>
  </si>
  <si>
    <t xml:space="preserve">camere di livello C15 (si vede il liquido; il sensore lavora attraverso la parete)</t>
  </si>
  <si>
    <t xml:space="preserve">ne servono circa 100 g: va bene anche una bobina piccola</t>
  </si>
  <si>
    <t xml:space="preserve">TOTALE da acquistare</t>
  </si>
  <si>
    <t xml:space="preserve">Totale per gruppo</t>
  </si>
  <si>
    <t xml:space="preserve">di cui facoltativi (velluto, tester per servo)</t>
  </si>
  <si>
    <t xml:space="preserve">Componenti già acquistati (DistintaComponenti.xlsx) e loro uso in questa macchina</t>
  </si>
  <si>
    <t xml:space="preserve">Quantità e prezzi sono quelli della distinta originale del progetto.</t>
  </si>
  <si>
    <t xml:space="preserve">Prezzo unitario (€)</t>
  </si>
  <si>
    <t xml:space="preserve">Uso in questa macchina</t>
  </si>
  <si>
    <t xml:space="preserve">Alimentatore 12V 30A</t>
  </si>
  <si>
    <t xml:space="preserve">Non usato in questa versione: al suo posto il Mean Well LRS-350-12, più sottile (30 mm), che sta in piedi contro la paratia. Tenerlo per il banco di prova</t>
  </si>
  <si>
    <t xml:space="preserve">Display</t>
  </si>
  <si>
    <t xml:space="preserve">JC4880P443C</t>
  </si>
  <si>
    <t xml:space="preserve">Usato: dietro la finestra del cruscotto inclinato D09, trattenuto dalle quattro linguette D10</t>
  </si>
  <si>
    <t xml:space="preserve">Pompa</t>
  </si>
  <si>
    <t xml:space="preserve">Marco UP3-R</t>
  </si>
  <si>
    <t xml:space="preserve">Usata: sotto il cavalletto della tank. Tenerla a PWM basso e sciacquarla con acqua a fine lavoro (corpo in ottone nichelato)</t>
  </si>
  <si>
    <t xml:space="preserve">Elettrovalvola</t>
  </si>
  <si>
    <t xml:space="preserve">DC 12V Normally Close</t>
  </si>
  <si>
    <t xml:space="preserve">Usate tutte, in fila sul collettore C07. Da sinistra: C1, WB, C2, C3, scarico. Freccia dalla vaschetta (o dal bagno) verso il collettore. La sesta, per l'ingresso dell'acqua, è nel foglio Da acquistare</t>
  </si>
  <si>
    <t xml:space="preserve">Mosfet driver</t>
  </si>
  <si>
    <t xml:space="preserve">IRF540 V4.0</t>
  </si>
  <si>
    <t xml:space="preserve">Usato per i due riscaldatori (uscite B6 e B7), come deciso: a 8,3 A per canale scalda, quindi dissipatori sui MOSFET e ripiano basso, vicino alle griglie d'aria</t>
  </si>
  <si>
    <t xml:space="preserve">Motor driver</t>
  </si>
  <si>
    <t xml:space="preserve">DC5-12V 0A-30A Dual channel H bridge</t>
  </si>
  <si>
    <t xml:space="preserve">Usato: ripiano centrale. Canale A motore della spirale, canale B pompa</t>
  </si>
  <si>
    <t xml:space="preserve">Solenoid Driver</t>
  </si>
  <si>
    <t xml:space="preserve">MCP23017 GPIO</t>
  </si>
  <si>
    <t xml:space="preserve">Usato: ripiano alto, accanto alla breakout. Valvole su A0-A4, valvola dell'ingresso su A5 (serve una piccola modifica al firmware), sensori di livello delle chimiche su B0-B5, riscaldatori su B6-B7</t>
  </si>
  <si>
    <t xml:space="preserve">Speaker</t>
  </si>
  <si>
    <t xml:space="preserve">Speaker 8ohm 2W</t>
  </si>
  <si>
    <t xml:space="preserve">Usato: supporto D19 dietro la foratura del pannello sinistro</t>
  </si>
  <si>
    <t xml:space="preserve">Motore agitatore</t>
  </si>
  <si>
    <t xml:space="preserve">JGB37-520 12V 20RPM</t>
  </si>
  <si>
    <t xml:space="preserve">Usato: nella galleria sotto il ripiano della tank, con cinghia tonda</t>
  </si>
  <si>
    <t xml:space="preserve">Portafusibile 15A</t>
  </si>
  <si>
    <t xml:space="preserve">Fusibile per riscaldatore</t>
  </si>
  <si>
    <t xml:space="preserve">Usati: uno per riscaldatore</t>
  </si>
  <si>
    <t xml:space="preserve">Riscaldatore</t>
  </si>
  <si>
    <t xml:space="preserve">100W 12V</t>
  </si>
  <si>
    <t xml:space="preserve">Usati: nella parete corta destra del bagno, vicino al fondo, uno verso il fronte e uno verso il retro (calore distribuito), ognuno sotto il suo carter C10</t>
  </si>
  <si>
    <t xml:space="preserve">Convertitore 12V / 5V</t>
  </si>
  <si>
    <t xml:space="preserve">LM2596S</t>
  </si>
  <si>
    <t xml:space="preserve">Usato: ripiano basso. Scheda display, sensori di livello, servo</t>
  </si>
  <si>
    <t xml:space="preserve">Cavo Flat</t>
  </si>
  <si>
    <t xml:space="preserve">Cavo flat grigio 2x13 20cm</t>
  </si>
  <si>
    <t xml:space="preserve">Usato: dal display alla breakout sul ripiano alto (con 20 cm ci arriva solo da lì), attraverso la fessura del piano</t>
  </si>
  <si>
    <t xml:space="preserve">Breakout board</t>
  </si>
  <si>
    <t xml:space="preserve">DC3 26 p 2x13Pins</t>
  </si>
  <si>
    <t xml:space="preserve">Usata: sul ripiano alto</t>
  </si>
  <si>
    <t xml:space="preserve">Sensore hall</t>
  </si>
  <si>
    <t xml:space="preserve">KY-003 A3144</t>
  </si>
  <si>
    <t xml:space="preserve">Usato: sulla staffa B25, davanti alla ruota magneti</t>
  </si>
  <si>
    <t xml:space="preserve">Sensore flusso</t>
  </si>
  <si>
    <t xml:space="preserve">YF-S201 12V</t>
  </si>
  <si>
    <t xml:space="preserve">Usato: sulla linea dell'acqua di rete, sotto il piano del cavalletto (staffa C18), subito dopo il passaparete INGRESSO: dice se l'acqua arriva davvero</t>
  </si>
  <si>
    <t xml:space="preserve">Sensore livello</t>
  </si>
  <si>
    <t xml:space="preserve">XKC-Y21 5V</t>
  </si>
  <si>
    <t xml:space="preserve">Usati tutti: 2 sulla parete del bagno (MIN e MAX), 3 sulle camere di livello C15 (MIN delle chimiche: la linea si svuota), 3 sui portasensori C04 (MAX delle vaschette)</t>
  </si>
  <si>
    <t xml:space="preserve">Sensore temperatura</t>
  </si>
  <si>
    <t xml:space="preserve">DS18B20 30mm 1m</t>
  </si>
  <si>
    <t xml:space="preserve">Usati: uno nel bagno (portasonde C06, sul longherone anteriore, lontano dai riscaldatori), uno nella vaschetta C1 (gancio C19 sul longherone, si toglie a mano)</t>
  </si>
  <si>
    <t xml:space="preserve">TOTALE già speso</t>
  </si>
  <si>
    <t xml:space="preserve">Pezzi da stampare (file in stl/ e step/, già nell'orientamento di stampa)</t>
  </si>
  <si>
    <t xml:space="preserve">Ipotesi per la stima del filamento (celle in blu, modificabili):</t>
  </si>
  <si>
    <t xml:space="preserve">Densità PETG (g/cm3)</t>
  </si>
  <si>
    <t xml:space="preserve">Quota di materiale rispetto al pieno (pareti + riempimento 25 %)</t>
  </si>
  <si>
    <t xml:space="preserve">Pezzo</t>
  </si>
  <si>
    <t xml:space="preserve">Volume pieno (cm3)</t>
  </si>
  <si>
    <t xml:space="preserve">Volume totale (cm3)</t>
  </si>
  <si>
    <t xml:space="preserve">Ingombro X (mm)</t>
  </si>
  <si>
    <t xml:space="preserve">Ingombro Y (mm)</t>
  </si>
  <si>
    <t xml:space="preserve">Altezza di stampa Z (mm)</t>
  </si>
  <si>
    <t xml:space="preserve">Note di stampa</t>
  </si>
  <si>
    <t xml:space="preserve">A01_flangia_135_A</t>
  </si>
  <si>
    <t xml:space="preserve">per il 135</t>
  </si>
  <si>
    <t xml:space="preserve">A02_flangia_135_B</t>
  </si>
  <si>
    <t xml:space="preserve">A03_tubo_baionetta</t>
  </si>
  <si>
    <t xml:space="preserve">passaggio della fascetta da parte a parte tra i due collarini, finestra larga e stretta (come la Lab-Box); il tamburo A04 non c'e' piu'</t>
  </si>
  <si>
    <t xml:space="preserve">A05_anello_alette</t>
  </si>
  <si>
    <t xml:space="preserve">A06_anello_alette_variante_B</t>
  </si>
  <si>
    <t xml:space="preserve">facoltativo: alette concordi</t>
  </si>
  <si>
    <t xml:space="preserve">A09_provino_accoppiamento</t>
  </si>
  <si>
    <t xml:space="preserve">da stampare per primo: sceglie il gioco della baionetta</t>
  </si>
  <si>
    <t xml:space="preserve">A10_flangia_120_A</t>
  </si>
  <si>
    <t xml:space="preserve">per il 120: giri piu' distanziati</t>
  </si>
  <si>
    <t xml:space="preserve">A11_flangia_120_B</t>
  </si>
  <si>
    <t xml:space="preserve">B01_corpo_tank</t>
  </si>
  <si>
    <t xml:space="preserve">in piedi, senza supporti</t>
  </si>
  <si>
    <t xml:space="preserve">B02_coperchio_tank</t>
  </si>
  <si>
    <t xml:space="preserve">capovolto</t>
  </si>
  <si>
    <t xml:space="preserve">B03_coperchietto_vano_servo</t>
  </si>
  <si>
    <t xml:space="preserve">B04_blocco_ponte_DX</t>
  </si>
  <si>
    <t xml:space="preserve">B05_blocco_ponte_SX</t>
  </si>
  <si>
    <t xml:space="preserve">B06_tetto_ponte</t>
  </si>
  <si>
    <t xml:space="preserve">B07_portalama</t>
  </si>
  <si>
    <t xml:space="preserve">B08_morsetto_lama_DX</t>
  </si>
  <si>
    <t xml:space="preserve">B09_morsetto_lama_SX</t>
  </si>
  <si>
    <t xml:space="preserve">B10_biella</t>
  </si>
  <si>
    <t xml:space="preserve">B11_manovella</t>
  </si>
  <si>
    <t xml:space="preserve">B12_culla_universale</t>
  </si>
  <si>
    <t xml:space="preserve">un solo pezzo per caricatore 135 e rullo 120</t>
  </si>
  <si>
    <t xml:space="preserve">B13_barra_guida</t>
  </si>
  <si>
    <t xml:space="preserve">quattro fossette: posizioni 135 (strette) e 120 (larghe)</t>
  </si>
  <si>
    <t xml:space="preserve">B14_slitta_DX</t>
  </si>
  <si>
    <t xml:space="preserve">in piedi sulla coda; supporti solo dal piatto (sotto il mozzo e il cappuccio); si blocca con una vite zigrinata M3 x 10 nell'orecchia del mozzo</t>
  </si>
  <si>
    <t xml:space="preserve">B15_slitta_SX</t>
  </si>
  <si>
    <t xml:space="preserve">B16_trascinatore</t>
  </si>
  <si>
    <t xml:space="preserve">B17_cartuccia_cuscinetti</t>
  </si>
  <si>
    <t xml:space="preserve">supporti solo sotto la flangia</t>
  </si>
  <si>
    <t xml:space="preserve">B18_distanziale_paraolio</t>
  </si>
  <si>
    <t xml:space="preserve">B19_distanziale_cuscinetti</t>
  </si>
  <si>
    <t xml:space="preserve">B20_rasamento_puleggia</t>
  </si>
  <si>
    <t xml:space="preserve">B21_puleggia_spirale</t>
  </si>
  <si>
    <t xml:space="preserve">B22_puleggia_motore</t>
  </si>
  <si>
    <t xml:space="preserve">B23_piastra_motore</t>
  </si>
  <si>
    <t xml:space="preserve">B24_perno_folle</t>
  </si>
  <si>
    <t xml:space="preserve">B25_staffa_hall</t>
  </si>
  <si>
    <t xml:space="preserve">C03_fermo_girevole</t>
  </si>
  <si>
    <t xml:space="preserve">due per vaschetta (davanti e dietro); vite autofilettante 2,9 x 13 a testa svasata</t>
  </si>
  <si>
    <t xml:space="preserve">C04_portasensore_MAX</t>
  </si>
  <si>
    <t xml:space="preserve">di piatto sulla faccia anteriore</t>
  </si>
  <si>
    <t xml:space="preserve">C05_testata_telaio_SX</t>
  </si>
  <si>
    <t xml:space="preserve">in piedi (alta 202 mm), brim consigliato; solo ponti corti</t>
  </si>
  <si>
    <t xml:space="preserve">C05_testata_telaio_DX</t>
  </si>
  <si>
    <t xml:space="preserve">C06_portasonde</t>
  </si>
  <si>
    <t xml:space="preserve">in piedi, come montato</t>
  </si>
  <si>
    <t xml:space="preserve">C07_collettore</t>
  </si>
  <si>
    <t xml:space="preserve">4 perimetri, riempimento 100 %</t>
  </si>
  <si>
    <t xml:space="preserve">C08_pettine_valvole</t>
  </si>
  <si>
    <t xml:space="preserve">C09_piastra_scarichi</t>
  </si>
  <si>
    <t xml:space="preserve">C10_carter_riscaldatore</t>
  </si>
  <si>
    <t xml:space="preserve">uno per riscaldatore</t>
  </si>
  <si>
    <t xml:space="preserve">C19_gancio_portasonda</t>
  </si>
  <si>
    <t xml:space="preserve">capovolto (lingua sul piatto)</t>
  </si>
  <si>
    <t xml:space="preserve">C20_imbuto_svuotamento</t>
  </si>
  <si>
    <t xml:space="preserve">beccuccio sul piatto; 4 perimetri; uno serve per tutte e tre le vaschette</t>
  </si>
  <si>
    <t xml:space="preserve">C11_corpo_innesto</t>
  </si>
  <si>
    <t xml:space="preserve">capovolto, flangia sul piatto; 4 perimetri, riempimento 100 %</t>
  </si>
  <si>
    <t xml:space="preserve">C12_ghiera_codolo</t>
  </si>
  <si>
    <t xml:space="preserve">dado sul piatto; 4 perimetri, riempimento 100 %</t>
  </si>
  <si>
    <t xml:space="preserve">C13_otturatore</t>
  </si>
  <si>
    <t xml:space="preserve">in piedi sul naso; riempimento 100 %</t>
  </si>
  <si>
    <t xml:space="preserve">C14_presa</t>
  </si>
  <si>
    <t xml:space="preserve">in piedi; 4 perimetri, riempimento 100 % (deve pesare e non galleggiare)</t>
  </si>
  <si>
    <t xml:space="preserve">C15_camera_livello</t>
  </si>
  <si>
    <t xml:space="preserve">in piedi, PETG trasparente; 3 perimetri, riempimento 100 %</t>
  </si>
  <si>
    <t xml:space="preserve">C16_piastra_ingresso</t>
  </si>
  <si>
    <t xml:space="preserve">C17_staffa_beccuccio</t>
  </si>
  <si>
    <t xml:space="preserve">capovolta</t>
  </si>
  <si>
    <t xml:space="preserve">C18_staffa_fascetta</t>
  </si>
  <si>
    <t xml:space="preserve">flussimetro e valvola dell'ingresso</t>
  </si>
  <si>
    <t xml:space="preserve">D01_piano_cavalletto</t>
  </si>
  <si>
    <t xml:space="preserve">D02_fianco_cavalletto_SX</t>
  </si>
  <si>
    <t xml:space="preserve">D03_fianco_cavalletto_DX</t>
  </si>
  <si>
    <t xml:space="preserve">D04_frontale_cavalletto</t>
  </si>
  <si>
    <t xml:space="preserve">D05_carter_trasmissione</t>
  </si>
  <si>
    <t xml:space="preserve">D06_montante_inferiore</t>
  </si>
  <si>
    <t xml:space="preserve">in piedi; uguale per i quattro angoli</t>
  </si>
  <si>
    <t xml:space="preserve">D07_montante_superiore</t>
  </si>
  <si>
    <t xml:space="preserve">capovolto; uguale per i quattro angoli</t>
  </si>
  <si>
    <t xml:space="preserve">D08_appoggio_piano</t>
  </si>
  <si>
    <t xml:space="preserve">D09_cruscotto_display</t>
  </si>
  <si>
    <t xml:space="preserve">faccia del display sul piatto</t>
  </si>
  <si>
    <t xml:space="preserve">D10_linguetta_display</t>
  </si>
  <si>
    <t xml:space="preserve">tengono la scheda display: si possono ruotare</t>
  </si>
  <si>
    <t xml:space="preserve">D11_guida_paratia</t>
  </si>
  <si>
    <t xml:space="preserve">D11_guida_divisorio</t>
  </si>
  <si>
    <t xml:space="preserve">D12_ripiano_griglia</t>
  </si>
  <si>
    <t xml:space="preserve">D13_piede_colonna</t>
  </si>
  <si>
    <t xml:space="preserve">D14_colonnina</t>
  </si>
  <si>
    <t xml:space="preserve">D15_morsetto_scheda</t>
  </si>
  <si>
    <t xml:space="preserve">D16_zoccolo_alimentatore</t>
  </si>
  <si>
    <t xml:space="preserve">D17_staffa_alimentatore</t>
  </si>
  <si>
    <t xml:space="preserve">D19_supporto_altoparlante</t>
  </si>
  <si>
    <t xml:space="preserve">TOTALE</t>
  </si>
  <si>
    <t xml:space="preserve">Filamento stimato (kg)</t>
  </si>
  <si>
    <t xml:space="preserve">Ingombro massimo sul piatto (mm)</t>
  </si>
  <si>
    <t xml:space="preserve">Viteria: dove va ogni vite</t>
  </si>
  <si>
    <t xml:space="preserve">Le viti autofilettanti da 3 mm entrano nei fori Ø2,6 dei pezzi stampati; le lunghezze sono verificate sul modello (verifiche.txt, check_screws.py). Le quantità per tipo sono sommate a destra.</t>
  </si>
  <si>
    <t xml:space="preserve">Tipo</t>
  </si>
  <si>
    <t xml:space="preserve">Dove</t>
  </si>
  <si>
    <t xml:space="preserve">Totale</t>
  </si>
  <si>
    <t xml:space="preserve">Vite autofilettante 3 x 10</t>
  </si>
  <si>
    <t xml:space="preserve">blocchi ponte sul ripiano della tank (B04, B05)</t>
  </si>
  <si>
    <t xml:space="preserve">Vite autofilettante 3 x 16</t>
  </si>
  <si>
    <t xml:space="preserve">tetto del ponte (B06)</t>
  </si>
  <si>
    <t xml:space="preserve">culla universale (B12)</t>
  </si>
  <si>
    <t xml:space="preserve">Vite M2 x 6 autofilettante</t>
  </si>
  <si>
    <t xml:space="preserve">morsetti delle lame</t>
  </si>
  <si>
    <t xml:space="preserve">Vite M2 x 8 (del servo)</t>
  </si>
  <si>
    <t xml:space="preserve">alette del servo</t>
  </si>
  <si>
    <t xml:space="preserve">Vite M2,5 x 8</t>
  </si>
  <si>
    <t xml:space="preserve">perno di manovella</t>
  </si>
  <si>
    <t xml:space="preserve">Vite M3 x 10</t>
  </si>
  <si>
    <t xml:space="preserve">spinotto biella-portalama</t>
  </si>
  <si>
    <t xml:space="preserve">Vite autofilettante 3 x 8</t>
  </si>
  <si>
    <t xml:space="preserve">coperchietto del vano servo (B03)</t>
  </si>
  <si>
    <t xml:space="preserve">Vite M3 x 8</t>
  </si>
  <si>
    <t xml:space="preserve">flangia della cartuccia (B17)</t>
  </si>
  <si>
    <t xml:space="preserve">Grano M3 x 6 + dado M3</t>
  </si>
  <si>
    <t xml:space="preserve">staffa Hall B25</t>
  </si>
  <si>
    <t xml:space="preserve">Vite M3 x 5 (o una fascetta)</t>
  </si>
  <si>
    <t xml:space="preserve">piastra del motore (B23)</t>
  </si>
  <si>
    <t xml:space="preserve">Vite M3 x 10 a testa zigrinata</t>
  </si>
  <si>
    <t xml:space="preserve">motoriduttore sulla piastra: nel riduttore entrano 4 mm; se i suoi fori sono meno profondi usare M3 x 6</t>
  </si>
  <si>
    <t xml:space="preserve">Vite per lamiera 2,9 x 13 svasata</t>
  </si>
  <si>
    <t xml:space="preserve">trascinatore e due pulegge</t>
  </si>
  <si>
    <t xml:space="preserve">Vite per lamiera 2,9 x 9,5</t>
  </si>
  <si>
    <t xml:space="preserve">ritegno del perno folle</t>
  </si>
  <si>
    <t xml:space="preserve">Vite M4 x 12</t>
  </si>
  <si>
    <t xml:space="preserve">modulo Hall sulla staffa B25</t>
  </si>
  <si>
    <t xml:space="preserve">Vite da legno 3,5 x 12</t>
  </si>
  <si>
    <t xml:space="preserve">blocco delle slitte B14 e B15 (nelle fossette della barra B13: posizione 135 e 120)</t>
  </si>
  <si>
    <t xml:space="preserve">Vite M3 x 10 svasata + dado</t>
  </si>
  <si>
    <t xml:space="preserve">piedini della tank sul piano del cavalletto D01</t>
  </si>
  <si>
    <t xml:space="preserve">Vite M3 x 10 + dado</t>
  </si>
  <si>
    <t xml:space="preserve">fermi girevoli C03 sui longheroni (davanti e dietro ogni vaschetta)</t>
  </si>
  <si>
    <t xml:space="preserve">Barra filettata M3 x 131 + dadi</t>
  </si>
  <si>
    <t xml:space="preserve">portasensori MAX C04 sul longherone anteriore</t>
  </si>
  <si>
    <t xml:space="preserve">Vite M3 x 16 + dado</t>
  </si>
  <si>
    <t xml:space="preserve">portasonde C06</t>
  </si>
  <si>
    <t xml:space="preserve">Vite da legno 3,5 x 16 svasata nera</t>
  </si>
  <si>
    <t xml:space="preserve">testate del telaio C05</t>
  </si>
  <si>
    <t xml:space="preserve">Totale viti</t>
  </si>
  <si>
    <t xml:space="preserve">collettore C07</t>
  </si>
  <si>
    <t xml:space="preserve">pettine valvole C08</t>
  </si>
  <si>
    <t xml:space="preserve">carter dei due riscaldatori C10 (due ciascuno)</t>
  </si>
  <si>
    <t xml:space="preserve">piastra degli scarichi C09 attraverso il pannello destro</t>
  </si>
  <si>
    <t xml:space="preserve">piastra dell'ingresso C16 attraverso il pannello destro</t>
  </si>
  <si>
    <t xml:space="preserve">staffe a fascetta C18 sotto il piano del cavalletto</t>
  </si>
  <si>
    <t xml:space="preserve">fianchi del cavalletto D02 e D03</t>
  </si>
  <si>
    <t xml:space="preserve">piede della pompa: forare secondo le asole della pompa</t>
  </si>
  <si>
    <t xml:space="preserve">piano del cavalletto D01 sui fianchi</t>
  </si>
  <si>
    <t xml:space="preserve">frontale del cavalletto D04</t>
  </si>
  <si>
    <t xml:space="preserve">carter della trasmissione D05</t>
  </si>
  <si>
    <t xml:space="preserve">guide a U D11 di paratia (3) e divisorio (2)</t>
  </si>
  <si>
    <t xml:space="preserve">piedi della colonna D13</t>
  </si>
  <si>
    <t xml:space="preserve">zoccolo dell'alimentatore D16</t>
  </si>
  <si>
    <t xml:space="preserve">staffa dell'alimentatore D17 sulla paratia</t>
  </si>
  <si>
    <t xml:space="preserve">colonna dei ripiani (dado incassato nel piede D13)</t>
  </si>
  <si>
    <t xml:space="preserve">morsetti delle schede D15</t>
  </si>
  <si>
    <t xml:space="preserve">pannelli del guscio nel bordo della base (3 per pannello)</t>
  </si>
  <si>
    <t xml:space="preserve">cruscotto D09, da sotto il piano anteriore</t>
  </si>
  <si>
    <t xml:space="preserve">linguette D10 del display</t>
  </si>
  <si>
    <t xml:space="preserve">Pannelli da tagliare (Dibond 3 mm e plexiglass 3 mm)</t>
  </si>
  <si>
    <t xml:space="preserve">Un file DXF per pannello in docs/pannelli/ (mm, vista dalla faccia esterna) e il PDF pannelli.pdf con quote e fori. Si possono mandare cosi' come sono a un servizio di taglio CNC; il prezzo al m2 (in blu) e' una stima.</t>
  </si>
  <si>
    <t xml:space="preserve">Prezzo Dibond tagliato (€/m2)</t>
  </si>
  <si>
    <t xml:space="preserve">Prezzo plexiglass tagliato (€/m2)</t>
  </si>
  <si>
    <t xml:space="preserve">Pannello</t>
  </si>
  <si>
    <t xml:space="preserve">Larghezza (mm)</t>
  </si>
  <si>
    <t xml:space="preserve">Altezza (mm)</t>
  </si>
  <si>
    <t xml:space="preserve">Materiale</t>
  </si>
  <si>
    <t xml:space="preserve">Fori tondi</t>
  </si>
  <si>
    <t xml:space="preserve">Aperture</t>
  </si>
  <si>
    <t xml:space="preserve">Area (m2)</t>
  </si>
  <si>
    <t xml:space="preserve">Costo stimato (€)</t>
  </si>
  <si>
    <t xml:space="preserve">File DXF</t>
  </si>
  <si>
    <t xml:space="preserve">pannello frontale</t>
  </si>
  <si>
    <t xml:space="preserve">Dibond 3 mm, grigio chiaro o alluminio spazzolato</t>
  </si>
  <si>
    <t xml:space="preserve">docs/pannelli/pannello_frontale.dxf</t>
  </si>
  <si>
    <t xml:space="preserve">pannello posteriore</t>
  </si>
  <si>
    <t xml:space="preserve">Dibond 3 mm, come il frontale</t>
  </si>
  <si>
    <t xml:space="preserve">docs/pannelli/pannello_posteriore.dxf</t>
  </si>
  <si>
    <t xml:space="preserve">pannello sinistro</t>
  </si>
  <si>
    <t xml:space="preserve">docs/pannelli/pannello_sinistro.dxf</t>
  </si>
  <si>
    <t xml:space="preserve">pannello destro</t>
  </si>
  <si>
    <t xml:space="preserve">docs/pannelli/pannello_destro.dxf</t>
  </si>
  <si>
    <t xml:space="preserve">piano anteriore</t>
  </si>
  <si>
    <t xml:space="preserve">Dibond 3 mm antracite</t>
  </si>
  <si>
    <t xml:space="preserve">docs/pannelli/piano_anteriore.dxf</t>
  </si>
  <si>
    <t xml:space="preserve">paratia</t>
  </si>
  <si>
    <t xml:space="preserve">Dibond 3 mm (qualsiasi colore)</t>
  </si>
  <si>
    <t xml:space="preserve">docs/pannelli/paratia.dxf</t>
  </si>
  <si>
    <t xml:space="preserve">divisorio</t>
  </si>
  <si>
    <t xml:space="preserve">docs/pannelli/divisorio.dxf</t>
  </si>
  <si>
    <t xml:space="preserve">coperchio bagno</t>
  </si>
  <si>
    <t xml:space="preserve">PLEXIGLASS (PMMA) trasparente 3 mm, bordi lucidati o smussati</t>
  </si>
  <si>
    <t xml:space="preserve">docs/pannelli/coperchio_bagno.dxf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</si>
</sst>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0.0"/>
    <numFmt numFmtId="167" formatCode="General"/>
    <numFmt numFmtId="168" formatCode="0"/>
    <numFmt numFmtId="169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B3261E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8EEF5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6" min="5" style="0" width="7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8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6.25" hidden="false" customHeight="false" outlineLevel="0" collapsed="false">
      <c r="A5" s="4" t="n">
        <v>1</v>
      </c>
      <c r="B5" s="5" t="s">
        <v>12</v>
      </c>
      <c r="C5" s="6" t="s">
        <v>13</v>
      </c>
      <c r="D5" s="5" t="s">
        <v>14</v>
      </c>
      <c r="E5" s="7" t="n">
        <v>1</v>
      </c>
      <c r="F5" s="4" t="s">
        <v>15</v>
      </c>
      <c r="G5" s="8" t="n">
        <v>27.05</v>
      </c>
      <c r="H5" s="9" t="n">
        <f aca="false">E5*G5</f>
        <v>27.05</v>
      </c>
      <c r="I5" s="5" t="s">
        <v>16</v>
      </c>
      <c r="J5" s="5" t="s">
        <v>17</v>
      </c>
    </row>
    <row r="6" customFormat="false" ht="23.85" hidden="false" customHeight="false" outlineLevel="0" collapsed="false">
      <c r="A6" s="4" t="n">
        <v>2</v>
      </c>
      <c r="B6" s="5" t="s">
        <v>12</v>
      </c>
      <c r="C6" s="6" t="s">
        <v>18</v>
      </c>
      <c r="D6" s="5" t="s">
        <v>19</v>
      </c>
      <c r="E6" s="7" t="n">
        <v>3</v>
      </c>
      <c r="F6" s="4" t="s">
        <v>15</v>
      </c>
      <c r="G6" s="8" t="n">
        <v>8</v>
      </c>
      <c r="H6" s="9" t="n">
        <f aca="false">E6*G6</f>
        <v>24</v>
      </c>
      <c r="I6" s="5" t="s">
        <v>20</v>
      </c>
      <c r="J6" s="5" t="s">
        <v>21</v>
      </c>
    </row>
    <row r="7" customFormat="false" ht="23.85" hidden="false" customHeight="false" outlineLevel="0" collapsed="false">
      <c r="A7" s="4" t="n">
        <v>3</v>
      </c>
      <c r="B7" s="5" t="s">
        <v>12</v>
      </c>
      <c r="C7" s="6" t="s">
        <v>22</v>
      </c>
      <c r="D7" s="5" t="s">
        <v>23</v>
      </c>
      <c r="E7" s="7" t="n">
        <v>1</v>
      </c>
      <c r="F7" s="4" t="s">
        <v>15</v>
      </c>
      <c r="G7" s="8" t="n">
        <v>5</v>
      </c>
      <c r="H7" s="9" t="n">
        <f aca="false">E7*G7</f>
        <v>5</v>
      </c>
      <c r="I7" s="5" t="s">
        <v>24</v>
      </c>
      <c r="J7" s="5"/>
    </row>
    <row r="8" customFormat="false" ht="15" hidden="false" customHeight="false" outlineLevel="0" collapsed="false">
      <c r="A8" s="4" t="n">
        <v>4</v>
      </c>
      <c r="B8" s="5" t="s">
        <v>12</v>
      </c>
      <c r="C8" s="6" t="s">
        <v>25</v>
      </c>
      <c r="D8" s="5"/>
      <c r="E8" s="7" t="n">
        <v>5</v>
      </c>
      <c r="F8" s="4" t="s">
        <v>15</v>
      </c>
      <c r="G8" s="8" t="n">
        <v>0.3</v>
      </c>
      <c r="H8" s="9" t="n">
        <f aca="false">E8*G8</f>
        <v>1.5</v>
      </c>
      <c r="I8" s="5" t="s">
        <v>26</v>
      </c>
      <c r="J8" s="5" t="s">
        <v>27</v>
      </c>
    </row>
    <row r="9" customFormat="false" ht="15" hidden="false" customHeight="false" outlineLevel="0" collapsed="false">
      <c r="A9" s="4" t="n">
        <v>5</v>
      </c>
      <c r="B9" s="5" t="s">
        <v>12</v>
      </c>
      <c r="C9" s="6" t="s">
        <v>28</v>
      </c>
      <c r="D9" s="5"/>
      <c r="E9" s="7" t="n">
        <v>5</v>
      </c>
      <c r="F9" s="4" t="s">
        <v>15</v>
      </c>
      <c r="G9" s="8" t="n">
        <v>0.2</v>
      </c>
      <c r="H9" s="9" t="n">
        <f aca="false">E9*G9</f>
        <v>1</v>
      </c>
      <c r="I9" s="5" t="s">
        <v>29</v>
      </c>
      <c r="J9" s="5" t="s">
        <v>27</v>
      </c>
    </row>
    <row r="10" customFormat="false" ht="23.85" hidden="false" customHeight="false" outlineLevel="0" collapsed="false">
      <c r="A10" s="4" t="n">
        <v>6</v>
      </c>
      <c r="B10" s="5" t="s">
        <v>12</v>
      </c>
      <c r="C10" s="6" t="s">
        <v>30</v>
      </c>
      <c r="D10" s="5" t="s">
        <v>31</v>
      </c>
      <c r="E10" s="7" t="n">
        <v>5</v>
      </c>
      <c r="F10" s="4" t="s">
        <v>15</v>
      </c>
      <c r="G10" s="8" t="n">
        <v>0.3</v>
      </c>
      <c r="H10" s="9" t="n">
        <f aca="false">E10*G10</f>
        <v>1.5</v>
      </c>
      <c r="I10" s="5" t="s">
        <v>32</v>
      </c>
      <c r="J10" s="5" t="s">
        <v>27</v>
      </c>
    </row>
    <row r="11" customFormat="false" ht="23.85" hidden="false" customHeight="false" outlineLevel="0" collapsed="false">
      <c r="A11" s="4" t="n">
        <v>7</v>
      </c>
      <c r="B11" s="5" t="s">
        <v>12</v>
      </c>
      <c r="C11" s="6" t="s">
        <v>33</v>
      </c>
      <c r="D11" s="5"/>
      <c r="E11" s="7" t="n">
        <v>5</v>
      </c>
      <c r="F11" s="4" t="s">
        <v>15</v>
      </c>
      <c r="G11" s="8" t="n">
        <v>0.5</v>
      </c>
      <c r="H11" s="9" t="n">
        <f aca="false">E11*G11</f>
        <v>2.5</v>
      </c>
      <c r="I11" s="5" t="s">
        <v>34</v>
      </c>
      <c r="J11" s="5" t="s">
        <v>35</v>
      </c>
    </row>
    <row r="12" customFormat="false" ht="23.85" hidden="false" customHeight="false" outlineLevel="0" collapsed="false">
      <c r="A12" s="4" t="n">
        <v>8</v>
      </c>
      <c r="B12" s="5" t="s">
        <v>12</v>
      </c>
      <c r="C12" s="6" t="s">
        <v>36</v>
      </c>
      <c r="D12" s="5" t="s">
        <v>37</v>
      </c>
      <c r="E12" s="7" t="n">
        <v>2</v>
      </c>
      <c r="F12" s="4" t="s">
        <v>38</v>
      </c>
      <c r="G12" s="8" t="n">
        <v>3</v>
      </c>
      <c r="H12" s="9" t="n">
        <f aca="false">E12*G12</f>
        <v>6</v>
      </c>
      <c r="I12" s="5" t="s">
        <v>39</v>
      </c>
      <c r="J12" s="5" t="s">
        <v>40</v>
      </c>
    </row>
    <row r="13" customFormat="false" ht="23.85" hidden="false" customHeight="false" outlineLevel="0" collapsed="false">
      <c r="A13" s="4" t="n">
        <v>9</v>
      </c>
      <c r="B13" s="5" t="s">
        <v>12</v>
      </c>
      <c r="C13" s="6" t="s">
        <v>41</v>
      </c>
      <c r="D13" s="5"/>
      <c r="E13" s="7" t="n">
        <v>2</v>
      </c>
      <c r="F13" s="4" t="s">
        <v>15</v>
      </c>
      <c r="G13" s="8" t="n">
        <v>1.5</v>
      </c>
      <c r="H13" s="9" t="n">
        <f aca="false">E13*G13</f>
        <v>3</v>
      </c>
      <c r="I13" s="5" t="s">
        <v>42</v>
      </c>
      <c r="J13" s="5" t="s">
        <v>43</v>
      </c>
    </row>
    <row r="14" customFormat="false" ht="23.85" hidden="false" customHeight="false" outlineLevel="0" collapsed="false">
      <c r="A14" s="4" t="n">
        <v>10</v>
      </c>
      <c r="B14" s="5" t="s">
        <v>12</v>
      </c>
      <c r="C14" s="6" t="s">
        <v>44</v>
      </c>
      <c r="D14" s="5" t="s">
        <v>45</v>
      </c>
      <c r="E14" s="7" t="n">
        <v>1</v>
      </c>
      <c r="F14" s="4" t="s">
        <v>15</v>
      </c>
      <c r="G14" s="8" t="n">
        <v>4</v>
      </c>
      <c r="H14" s="9" t="n">
        <f aca="false">E14*G14</f>
        <v>4</v>
      </c>
      <c r="I14" s="5" t="s">
        <v>46</v>
      </c>
      <c r="J14" s="5"/>
    </row>
    <row r="15" customFormat="false" ht="23.85" hidden="false" customHeight="false" outlineLevel="0" collapsed="false">
      <c r="A15" s="4" t="n">
        <v>11</v>
      </c>
      <c r="B15" s="5" t="s">
        <v>12</v>
      </c>
      <c r="C15" s="6" t="s">
        <v>47</v>
      </c>
      <c r="D15" s="5" t="s">
        <v>48</v>
      </c>
      <c r="E15" s="7" t="n">
        <v>1</v>
      </c>
      <c r="F15" s="4" t="s">
        <v>15</v>
      </c>
      <c r="G15" s="8" t="n">
        <v>4</v>
      </c>
      <c r="H15" s="9" t="n">
        <f aca="false">E15*G15</f>
        <v>4</v>
      </c>
      <c r="I15" s="5" t="s">
        <v>49</v>
      </c>
      <c r="J15" s="5"/>
    </row>
    <row r="16" customFormat="false" ht="23.85" hidden="false" customHeight="false" outlineLevel="0" collapsed="false">
      <c r="A16" s="4" t="n">
        <v>12</v>
      </c>
      <c r="B16" s="5" t="s">
        <v>12</v>
      </c>
      <c r="C16" s="6" t="s">
        <v>50</v>
      </c>
      <c r="D16" s="5" t="s">
        <v>51</v>
      </c>
      <c r="E16" s="7" t="n">
        <v>1</v>
      </c>
      <c r="F16" s="4" t="s">
        <v>15</v>
      </c>
      <c r="G16" s="8" t="n">
        <v>4</v>
      </c>
      <c r="H16" s="9" t="n">
        <f aca="false">E16*G16</f>
        <v>4</v>
      </c>
      <c r="I16" s="5" t="s">
        <v>52</v>
      </c>
      <c r="J16" s="5" t="s">
        <v>53</v>
      </c>
    </row>
    <row r="17" customFormat="false" ht="23.85" hidden="false" customHeight="false" outlineLevel="0" collapsed="false">
      <c r="A17" s="4" t="n">
        <v>13</v>
      </c>
      <c r="B17" s="5" t="s">
        <v>12</v>
      </c>
      <c r="C17" s="6" t="s">
        <v>54</v>
      </c>
      <c r="D17" s="5"/>
      <c r="E17" s="7" t="n">
        <v>1</v>
      </c>
      <c r="F17" s="4" t="s">
        <v>38</v>
      </c>
      <c r="G17" s="8" t="n">
        <v>3</v>
      </c>
      <c r="H17" s="9" t="n">
        <f aca="false">E17*G17</f>
        <v>3</v>
      </c>
      <c r="I17" s="5" t="s">
        <v>55</v>
      </c>
      <c r="J17" s="5" t="s">
        <v>56</v>
      </c>
    </row>
    <row r="18" customFormat="false" ht="23.85" hidden="false" customHeight="false" outlineLevel="0" collapsed="false">
      <c r="A18" s="4" t="n">
        <v>14</v>
      </c>
      <c r="B18" s="5" t="s">
        <v>12</v>
      </c>
      <c r="C18" s="6" t="s">
        <v>57</v>
      </c>
      <c r="D18" s="5"/>
      <c r="E18" s="7" t="n">
        <v>1</v>
      </c>
      <c r="F18" s="4" t="s">
        <v>15</v>
      </c>
      <c r="G18" s="8" t="n">
        <v>6</v>
      </c>
      <c r="H18" s="9" t="n">
        <f aca="false">E18*G18</f>
        <v>6</v>
      </c>
      <c r="I18" s="5" t="s">
        <v>58</v>
      </c>
      <c r="J18" s="5" t="s">
        <v>59</v>
      </c>
    </row>
    <row r="19" customFormat="false" ht="23.85" hidden="false" customHeight="false" outlineLevel="0" collapsed="false">
      <c r="A19" s="4" t="n">
        <v>15</v>
      </c>
      <c r="B19" s="5" t="s">
        <v>12</v>
      </c>
      <c r="C19" s="6" t="s">
        <v>60</v>
      </c>
      <c r="D19" s="5" t="s">
        <v>61</v>
      </c>
      <c r="E19" s="7" t="n">
        <v>1</v>
      </c>
      <c r="F19" s="4" t="s">
        <v>15</v>
      </c>
      <c r="G19" s="8" t="n">
        <v>3</v>
      </c>
      <c r="H19" s="9" t="n">
        <f aca="false">E19*G19</f>
        <v>3</v>
      </c>
      <c r="I19" s="5" t="s">
        <v>62</v>
      </c>
      <c r="J19" s="5"/>
    </row>
    <row r="20" customFormat="false" ht="35.05" hidden="false" customHeight="false" outlineLevel="0" collapsed="false">
      <c r="A20" s="4" t="n">
        <v>16</v>
      </c>
      <c r="B20" s="5" t="s">
        <v>63</v>
      </c>
      <c r="C20" s="6" t="s">
        <v>64</v>
      </c>
      <c r="D20" s="5" t="s">
        <v>65</v>
      </c>
      <c r="E20" s="7" t="n">
        <v>1</v>
      </c>
      <c r="F20" s="4" t="s">
        <v>15</v>
      </c>
      <c r="G20" s="8" t="n">
        <v>8</v>
      </c>
      <c r="H20" s="9" t="n">
        <f aca="false">E20*G20</f>
        <v>8</v>
      </c>
      <c r="I20" s="5" t="s">
        <v>66</v>
      </c>
      <c r="J20" s="5"/>
    </row>
    <row r="21" customFormat="false" ht="23.85" hidden="false" customHeight="false" outlineLevel="0" collapsed="false">
      <c r="A21" s="4" t="n">
        <v>17</v>
      </c>
      <c r="B21" s="5" t="s">
        <v>63</v>
      </c>
      <c r="C21" s="6" t="s">
        <v>67</v>
      </c>
      <c r="D21" s="5"/>
      <c r="E21" s="7" t="n">
        <v>1</v>
      </c>
      <c r="F21" s="4" t="s">
        <v>15</v>
      </c>
      <c r="G21" s="8" t="n">
        <v>7.59</v>
      </c>
      <c r="H21" s="9" t="n">
        <f aca="false">E21*G21</f>
        <v>7.59</v>
      </c>
      <c r="I21" s="5" t="s">
        <v>68</v>
      </c>
      <c r="J21" s="5" t="s">
        <v>69</v>
      </c>
    </row>
    <row r="22" customFormat="false" ht="23.85" hidden="false" customHeight="false" outlineLevel="0" collapsed="false">
      <c r="A22" s="4" t="n">
        <v>18</v>
      </c>
      <c r="B22" s="5" t="s">
        <v>63</v>
      </c>
      <c r="C22" s="6" t="s">
        <v>70</v>
      </c>
      <c r="D22" s="5" t="s">
        <v>71</v>
      </c>
      <c r="E22" s="7" t="n">
        <v>9</v>
      </c>
      <c r="F22" s="4" t="s">
        <v>15</v>
      </c>
      <c r="G22" s="8" t="n">
        <v>0.7</v>
      </c>
      <c r="H22" s="9" t="n">
        <f aca="false">E22*G22</f>
        <v>6.3</v>
      </c>
      <c r="I22" s="5" t="s">
        <v>72</v>
      </c>
      <c r="J22" s="5" t="s">
        <v>73</v>
      </c>
    </row>
    <row r="23" customFormat="false" ht="23.85" hidden="false" customHeight="false" outlineLevel="0" collapsed="false">
      <c r="A23" s="4" t="n">
        <v>19</v>
      </c>
      <c r="B23" s="5" t="s">
        <v>63</v>
      </c>
      <c r="C23" s="6" t="s">
        <v>74</v>
      </c>
      <c r="D23" s="5" t="s">
        <v>75</v>
      </c>
      <c r="E23" s="7" t="n">
        <v>2</v>
      </c>
      <c r="F23" s="4" t="s">
        <v>15</v>
      </c>
      <c r="G23" s="8" t="n">
        <v>1.5</v>
      </c>
      <c r="H23" s="9" t="n">
        <f aca="false">E23*G23</f>
        <v>3</v>
      </c>
      <c r="I23" s="5" t="s">
        <v>76</v>
      </c>
      <c r="J23" s="5" t="s">
        <v>77</v>
      </c>
    </row>
    <row r="24" customFormat="false" ht="23.85" hidden="false" customHeight="false" outlineLevel="0" collapsed="false">
      <c r="A24" s="4" t="n">
        <v>20</v>
      </c>
      <c r="B24" s="5" t="s">
        <v>63</v>
      </c>
      <c r="C24" s="6" t="s">
        <v>78</v>
      </c>
      <c r="D24" s="5"/>
      <c r="E24" s="7" t="n">
        <v>2</v>
      </c>
      <c r="F24" s="4" t="s">
        <v>15</v>
      </c>
      <c r="G24" s="8" t="n">
        <v>1.5</v>
      </c>
      <c r="H24" s="9" t="n">
        <f aca="false">E24*G24</f>
        <v>3</v>
      </c>
      <c r="I24" s="5" t="s">
        <v>79</v>
      </c>
      <c r="J24" s="5" t="s">
        <v>80</v>
      </c>
    </row>
    <row r="25" customFormat="false" ht="23.85" hidden="false" customHeight="false" outlineLevel="0" collapsed="false">
      <c r="A25" s="4" t="n">
        <v>21</v>
      </c>
      <c r="B25" s="5" t="s">
        <v>63</v>
      </c>
      <c r="C25" s="6" t="s">
        <v>81</v>
      </c>
      <c r="D25" s="5"/>
      <c r="E25" s="7" t="n">
        <v>2</v>
      </c>
      <c r="F25" s="4" t="s">
        <v>15</v>
      </c>
      <c r="G25" s="8" t="n">
        <v>1.5</v>
      </c>
      <c r="H25" s="9" t="n">
        <f aca="false">E25*G25</f>
        <v>3</v>
      </c>
      <c r="I25" s="5" t="s">
        <v>82</v>
      </c>
      <c r="J25" s="5" t="s">
        <v>80</v>
      </c>
    </row>
    <row r="26" customFormat="false" ht="23.85" hidden="false" customHeight="false" outlineLevel="0" collapsed="false">
      <c r="A26" s="4" t="n">
        <v>22</v>
      </c>
      <c r="B26" s="5" t="s">
        <v>63</v>
      </c>
      <c r="C26" s="6" t="s">
        <v>83</v>
      </c>
      <c r="D26" s="5" t="s">
        <v>84</v>
      </c>
      <c r="E26" s="7" t="n">
        <v>2</v>
      </c>
      <c r="F26" s="4" t="s">
        <v>15</v>
      </c>
      <c r="G26" s="8" t="n">
        <v>2</v>
      </c>
      <c r="H26" s="9" t="n">
        <f aca="false">E26*G26</f>
        <v>4</v>
      </c>
      <c r="I26" s="5" t="s">
        <v>85</v>
      </c>
      <c r="J26" s="5"/>
    </row>
    <row r="27" customFormat="false" ht="35.05" hidden="false" customHeight="false" outlineLevel="0" collapsed="false">
      <c r="A27" s="4" t="n">
        <v>23</v>
      </c>
      <c r="B27" s="5" t="s">
        <v>63</v>
      </c>
      <c r="C27" s="6" t="s">
        <v>86</v>
      </c>
      <c r="D27" s="5" t="s">
        <v>87</v>
      </c>
      <c r="E27" s="7" t="n">
        <v>1</v>
      </c>
      <c r="F27" s="4" t="s">
        <v>15</v>
      </c>
      <c r="G27" s="8" t="n">
        <v>5</v>
      </c>
      <c r="H27" s="9" t="n">
        <f aca="false">E27*G27</f>
        <v>5</v>
      </c>
      <c r="I27" s="5" t="s">
        <v>88</v>
      </c>
      <c r="J27" s="5" t="s">
        <v>89</v>
      </c>
    </row>
    <row r="28" customFormat="false" ht="23.85" hidden="false" customHeight="false" outlineLevel="0" collapsed="false">
      <c r="A28" s="4" t="n">
        <v>24</v>
      </c>
      <c r="B28" s="5" t="s">
        <v>63</v>
      </c>
      <c r="C28" s="6" t="s">
        <v>90</v>
      </c>
      <c r="D28" s="5" t="s">
        <v>48</v>
      </c>
      <c r="E28" s="7" t="n">
        <v>1</v>
      </c>
      <c r="F28" s="4" t="s">
        <v>15</v>
      </c>
      <c r="G28" s="8" t="n">
        <v>9</v>
      </c>
      <c r="H28" s="9" t="n">
        <f aca="false">E28*G28</f>
        <v>9</v>
      </c>
      <c r="I28" s="5" t="s">
        <v>91</v>
      </c>
      <c r="J28" s="5" t="s">
        <v>92</v>
      </c>
    </row>
    <row r="29" customFormat="false" ht="35.05" hidden="false" customHeight="false" outlineLevel="0" collapsed="false">
      <c r="A29" s="4" t="n">
        <v>25</v>
      </c>
      <c r="B29" s="5" t="s">
        <v>63</v>
      </c>
      <c r="C29" s="6" t="s">
        <v>93</v>
      </c>
      <c r="D29" s="5"/>
      <c r="E29" s="7" t="n">
        <v>20</v>
      </c>
      <c r="F29" s="4" t="s">
        <v>15</v>
      </c>
      <c r="G29" s="8" t="n">
        <v>0.15</v>
      </c>
      <c r="H29" s="9" t="n">
        <f aca="false">E29*G29</f>
        <v>3</v>
      </c>
      <c r="I29" s="5" t="s">
        <v>94</v>
      </c>
      <c r="J29" s="5" t="s">
        <v>95</v>
      </c>
    </row>
    <row r="30" customFormat="false" ht="15" hidden="false" customHeight="false" outlineLevel="0" collapsed="false">
      <c r="A30" s="4" t="n">
        <v>26</v>
      </c>
      <c r="B30" s="5" t="s">
        <v>63</v>
      </c>
      <c r="C30" s="6" t="s">
        <v>96</v>
      </c>
      <c r="D30" s="5" t="s">
        <v>97</v>
      </c>
      <c r="E30" s="7" t="n">
        <v>1</v>
      </c>
      <c r="F30" s="4" t="s">
        <v>98</v>
      </c>
      <c r="G30" s="8" t="n">
        <v>3</v>
      </c>
      <c r="H30" s="9" t="n">
        <f aca="false">E30*G30</f>
        <v>3</v>
      </c>
      <c r="I30" s="5" t="s">
        <v>99</v>
      </c>
      <c r="J30" s="5"/>
    </row>
    <row r="31" customFormat="false" ht="23.85" hidden="false" customHeight="false" outlineLevel="0" collapsed="false">
      <c r="A31" s="4" t="n">
        <v>27</v>
      </c>
      <c r="B31" s="5" t="s">
        <v>63</v>
      </c>
      <c r="C31" s="6" t="s">
        <v>100</v>
      </c>
      <c r="D31" s="5" t="s">
        <v>101</v>
      </c>
      <c r="E31" s="7" t="n">
        <v>1</v>
      </c>
      <c r="F31" s="4" t="s">
        <v>98</v>
      </c>
      <c r="G31" s="8" t="n">
        <v>3</v>
      </c>
      <c r="H31" s="9" t="n">
        <f aca="false">E31*G31</f>
        <v>3</v>
      </c>
      <c r="I31" s="5" t="s">
        <v>102</v>
      </c>
      <c r="J31" s="5"/>
    </row>
    <row r="32" customFormat="false" ht="23.85" hidden="false" customHeight="false" outlineLevel="0" collapsed="false">
      <c r="A32" s="4" t="n">
        <v>28</v>
      </c>
      <c r="B32" s="5" t="s">
        <v>63</v>
      </c>
      <c r="C32" s="6" t="s">
        <v>103</v>
      </c>
      <c r="D32" s="5" t="s">
        <v>104</v>
      </c>
      <c r="E32" s="7" t="n">
        <v>1</v>
      </c>
      <c r="F32" s="4" t="s">
        <v>15</v>
      </c>
      <c r="G32" s="8" t="n">
        <v>5</v>
      </c>
      <c r="H32" s="9" t="n">
        <f aca="false">E32*G32</f>
        <v>5</v>
      </c>
      <c r="I32" s="5" t="s">
        <v>105</v>
      </c>
      <c r="J32" s="5"/>
    </row>
    <row r="33" customFormat="false" ht="23.85" hidden="false" customHeight="false" outlineLevel="0" collapsed="false">
      <c r="A33" s="4" t="n">
        <v>29</v>
      </c>
      <c r="B33" s="5" t="s">
        <v>106</v>
      </c>
      <c r="C33" s="6" t="s">
        <v>107</v>
      </c>
      <c r="D33" s="5" t="s">
        <v>108</v>
      </c>
      <c r="E33" s="7" t="n">
        <v>1</v>
      </c>
      <c r="F33" s="4" t="s">
        <v>15</v>
      </c>
      <c r="G33" s="8" t="n">
        <v>4</v>
      </c>
      <c r="H33" s="9" t="n">
        <f aca="false">E33*G33</f>
        <v>4</v>
      </c>
      <c r="I33" s="5" t="s">
        <v>109</v>
      </c>
      <c r="J33" s="5"/>
    </row>
    <row r="34" customFormat="false" ht="15" hidden="false" customHeight="false" outlineLevel="0" collapsed="false">
      <c r="A34" s="4" t="n">
        <v>30</v>
      </c>
      <c r="B34" s="5" t="s">
        <v>106</v>
      </c>
      <c r="C34" s="6" t="s">
        <v>110</v>
      </c>
      <c r="D34" s="5" t="s">
        <v>111</v>
      </c>
      <c r="E34" s="7" t="n">
        <v>2</v>
      </c>
      <c r="F34" s="4" t="s">
        <v>15</v>
      </c>
      <c r="G34" s="8" t="n">
        <v>2.5</v>
      </c>
      <c r="H34" s="9" t="n">
        <f aca="false">E34*G34</f>
        <v>5</v>
      </c>
      <c r="I34" s="5" t="s">
        <v>112</v>
      </c>
      <c r="J34" s="5"/>
    </row>
    <row r="35" customFormat="false" ht="15" hidden="false" customHeight="false" outlineLevel="0" collapsed="false">
      <c r="A35" s="4" t="n">
        <v>31</v>
      </c>
      <c r="B35" s="5" t="s">
        <v>106</v>
      </c>
      <c r="C35" s="6" t="s">
        <v>113</v>
      </c>
      <c r="D35" s="5" t="s">
        <v>114</v>
      </c>
      <c r="E35" s="7" t="n">
        <v>1</v>
      </c>
      <c r="F35" s="4" t="s">
        <v>15</v>
      </c>
      <c r="G35" s="8" t="n">
        <v>2</v>
      </c>
      <c r="H35" s="9" t="n">
        <f aca="false">E35*G35</f>
        <v>2</v>
      </c>
      <c r="I35" s="5" t="s">
        <v>115</v>
      </c>
      <c r="J35" s="5"/>
    </row>
    <row r="36" customFormat="false" ht="15" hidden="false" customHeight="false" outlineLevel="0" collapsed="false">
      <c r="A36" s="4" t="n">
        <v>32</v>
      </c>
      <c r="B36" s="5" t="s">
        <v>106</v>
      </c>
      <c r="C36" s="6" t="s">
        <v>116</v>
      </c>
      <c r="D36" s="5"/>
      <c r="E36" s="7" t="n">
        <v>1</v>
      </c>
      <c r="F36" s="4" t="s">
        <v>15</v>
      </c>
      <c r="G36" s="8" t="n">
        <v>0.2</v>
      </c>
      <c r="H36" s="9" t="n">
        <f aca="false">E36*G36</f>
        <v>0.2</v>
      </c>
      <c r="I36" s="5" t="s">
        <v>117</v>
      </c>
      <c r="J36" s="5"/>
    </row>
    <row r="37" customFormat="false" ht="15" hidden="false" customHeight="false" outlineLevel="0" collapsed="false">
      <c r="A37" s="4" t="n">
        <v>33</v>
      </c>
      <c r="B37" s="5" t="s">
        <v>106</v>
      </c>
      <c r="C37" s="6" t="s">
        <v>118</v>
      </c>
      <c r="D37" s="5"/>
      <c r="E37" s="7" t="n">
        <v>1</v>
      </c>
      <c r="F37" s="4" t="s">
        <v>15</v>
      </c>
      <c r="G37" s="8" t="n">
        <v>0.3</v>
      </c>
      <c r="H37" s="9" t="n">
        <f aca="false">E37*G37</f>
        <v>0.3</v>
      </c>
      <c r="I37" s="5" t="s">
        <v>119</v>
      </c>
      <c r="J37" s="5"/>
    </row>
    <row r="38" customFormat="false" ht="15" hidden="false" customHeight="false" outlineLevel="0" collapsed="false">
      <c r="A38" s="4" t="n">
        <v>34</v>
      </c>
      <c r="B38" s="5" t="s">
        <v>106</v>
      </c>
      <c r="C38" s="6" t="s">
        <v>120</v>
      </c>
      <c r="D38" s="5"/>
      <c r="E38" s="7" t="n">
        <v>2</v>
      </c>
      <c r="F38" s="4" t="s">
        <v>15</v>
      </c>
      <c r="G38" s="8" t="n">
        <v>1</v>
      </c>
      <c r="H38" s="9" t="n">
        <f aca="false">E38*G38</f>
        <v>2</v>
      </c>
      <c r="I38" s="5" t="s">
        <v>121</v>
      </c>
      <c r="J38" s="5" t="s">
        <v>122</v>
      </c>
    </row>
    <row r="39" customFormat="false" ht="15" hidden="false" customHeight="false" outlineLevel="0" collapsed="false">
      <c r="A39" s="4" t="n">
        <v>35</v>
      </c>
      <c r="B39" s="5" t="s">
        <v>106</v>
      </c>
      <c r="C39" s="6" t="s">
        <v>123</v>
      </c>
      <c r="D39" s="5" t="s">
        <v>124</v>
      </c>
      <c r="E39" s="7" t="n">
        <v>1</v>
      </c>
      <c r="F39" s="4" t="s">
        <v>98</v>
      </c>
      <c r="G39" s="8" t="n">
        <v>3</v>
      </c>
      <c r="H39" s="9" t="n">
        <f aca="false">E39*G39</f>
        <v>3</v>
      </c>
      <c r="I39" s="5" t="s">
        <v>125</v>
      </c>
      <c r="J39" s="5"/>
    </row>
    <row r="40" customFormat="false" ht="15" hidden="false" customHeight="false" outlineLevel="0" collapsed="false">
      <c r="A40" s="4" t="n">
        <v>36</v>
      </c>
      <c r="B40" s="5" t="s">
        <v>106</v>
      </c>
      <c r="C40" s="6" t="s">
        <v>126</v>
      </c>
      <c r="D40" s="5"/>
      <c r="E40" s="7" t="n">
        <v>1</v>
      </c>
      <c r="F40" s="4" t="s">
        <v>15</v>
      </c>
      <c r="G40" s="8" t="n">
        <v>1</v>
      </c>
      <c r="H40" s="9" t="n">
        <f aca="false">E40*G40</f>
        <v>1</v>
      </c>
      <c r="I40" s="5" t="s">
        <v>127</v>
      </c>
      <c r="J40" s="5"/>
    </row>
    <row r="41" customFormat="false" ht="23.85" hidden="false" customHeight="false" outlineLevel="0" collapsed="false">
      <c r="A41" s="4" t="n">
        <v>37</v>
      </c>
      <c r="B41" s="5" t="s">
        <v>106</v>
      </c>
      <c r="C41" s="6" t="s">
        <v>128</v>
      </c>
      <c r="D41" s="5"/>
      <c r="E41" s="7" t="n">
        <v>2</v>
      </c>
      <c r="F41" s="4" t="s">
        <v>15</v>
      </c>
      <c r="G41" s="8" t="n">
        <v>0.5</v>
      </c>
      <c r="H41" s="9" t="n">
        <f aca="false">E41*G41</f>
        <v>1</v>
      </c>
      <c r="I41" s="5" t="s">
        <v>129</v>
      </c>
      <c r="J41" s="5" t="s">
        <v>130</v>
      </c>
    </row>
    <row r="42" customFormat="false" ht="35.05" hidden="false" customHeight="false" outlineLevel="0" collapsed="false">
      <c r="A42" s="4" t="n">
        <v>38</v>
      </c>
      <c r="B42" s="5" t="s">
        <v>106</v>
      </c>
      <c r="C42" s="6" t="s">
        <v>131</v>
      </c>
      <c r="D42" s="5" t="s">
        <v>132</v>
      </c>
      <c r="E42" s="7" t="n">
        <v>1</v>
      </c>
      <c r="F42" s="4" t="s">
        <v>15</v>
      </c>
      <c r="G42" s="8"/>
      <c r="H42" s="9" t="n">
        <f aca="false">E42*G42</f>
        <v>0</v>
      </c>
      <c r="I42" s="5" t="s">
        <v>133</v>
      </c>
      <c r="J42" s="5" t="s">
        <v>134</v>
      </c>
    </row>
    <row r="43" customFormat="false" ht="15" hidden="false" customHeight="false" outlineLevel="0" collapsed="false">
      <c r="A43" s="4" t="n">
        <v>39</v>
      </c>
      <c r="B43" s="5" t="s">
        <v>106</v>
      </c>
      <c r="C43" s="6" t="s">
        <v>135</v>
      </c>
      <c r="D43" s="5" t="s">
        <v>136</v>
      </c>
      <c r="E43" s="7" t="n">
        <v>1</v>
      </c>
      <c r="F43" s="4" t="s">
        <v>15</v>
      </c>
      <c r="G43" s="8" t="n">
        <v>4</v>
      </c>
      <c r="H43" s="9" t="n">
        <f aca="false">E43*G43</f>
        <v>4</v>
      </c>
      <c r="I43" s="5" t="s">
        <v>137</v>
      </c>
      <c r="J43" s="5"/>
    </row>
    <row r="44" customFormat="false" ht="15" hidden="false" customHeight="false" outlineLevel="0" collapsed="false">
      <c r="A44" s="4" t="n">
        <v>40</v>
      </c>
      <c r="B44" s="5" t="s">
        <v>106</v>
      </c>
      <c r="C44" s="6" t="s">
        <v>138</v>
      </c>
      <c r="D44" s="5" t="s">
        <v>139</v>
      </c>
      <c r="E44" s="7" t="n">
        <v>1</v>
      </c>
      <c r="F44" s="4" t="s">
        <v>98</v>
      </c>
      <c r="G44" s="8" t="n">
        <v>2</v>
      </c>
      <c r="H44" s="9" t="n">
        <f aca="false">E44*G44</f>
        <v>2</v>
      </c>
      <c r="I44" s="5" t="s">
        <v>140</v>
      </c>
      <c r="J44" s="5"/>
    </row>
    <row r="45" customFormat="false" ht="23.85" hidden="false" customHeight="false" outlineLevel="0" collapsed="false">
      <c r="A45" s="4" t="n">
        <v>41</v>
      </c>
      <c r="B45" s="5" t="s">
        <v>106</v>
      </c>
      <c r="C45" s="6" t="s">
        <v>141</v>
      </c>
      <c r="D45" s="5" t="s">
        <v>142</v>
      </c>
      <c r="E45" s="7" t="n">
        <v>1</v>
      </c>
      <c r="F45" s="4" t="s">
        <v>15</v>
      </c>
      <c r="G45" s="8" t="n">
        <v>4</v>
      </c>
      <c r="H45" s="9" t="n">
        <f aca="false">E45*G45</f>
        <v>4</v>
      </c>
      <c r="I45" s="5" t="s">
        <v>143</v>
      </c>
      <c r="J45" s="5" t="s">
        <v>144</v>
      </c>
    </row>
    <row r="46" customFormat="false" ht="23.85" hidden="false" customHeight="false" outlineLevel="0" collapsed="false">
      <c r="A46" s="4" t="n">
        <v>42</v>
      </c>
      <c r="B46" s="5" t="s">
        <v>145</v>
      </c>
      <c r="C46" s="6" t="s">
        <v>146</v>
      </c>
      <c r="D46" s="5" t="s">
        <v>147</v>
      </c>
      <c r="E46" s="7" t="n">
        <v>1</v>
      </c>
      <c r="F46" s="4" t="s">
        <v>15</v>
      </c>
      <c r="G46" s="8" t="n">
        <v>32</v>
      </c>
      <c r="H46" s="9" t="n">
        <f aca="false">E46*G46</f>
        <v>32</v>
      </c>
      <c r="I46" s="5" t="s">
        <v>148</v>
      </c>
      <c r="J46" s="5" t="s">
        <v>149</v>
      </c>
    </row>
    <row r="47" customFormat="false" ht="23.85" hidden="false" customHeight="false" outlineLevel="0" collapsed="false">
      <c r="A47" s="4" t="n">
        <v>43</v>
      </c>
      <c r="B47" s="5" t="s">
        <v>145</v>
      </c>
      <c r="C47" s="6" t="s">
        <v>150</v>
      </c>
      <c r="D47" s="5" t="s">
        <v>151</v>
      </c>
      <c r="E47" s="7" t="n">
        <v>1</v>
      </c>
      <c r="F47" s="4" t="s">
        <v>15</v>
      </c>
      <c r="G47" s="8" t="n">
        <v>4</v>
      </c>
      <c r="H47" s="9" t="n">
        <f aca="false">E47*G47</f>
        <v>4</v>
      </c>
      <c r="I47" s="5" t="s">
        <v>152</v>
      </c>
      <c r="J47" s="5"/>
    </row>
    <row r="48" customFormat="false" ht="23.85" hidden="false" customHeight="false" outlineLevel="0" collapsed="false">
      <c r="A48" s="4" t="n">
        <v>44</v>
      </c>
      <c r="B48" s="5" t="s">
        <v>145</v>
      </c>
      <c r="C48" s="6" t="s">
        <v>153</v>
      </c>
      <c r="D48" s="5"/>
      <c r="E48" s="7" t="n">
        <v>1</v>
      </c>
      <c r="F48" s="4" t="s">
        <v>15</v>
      </c>
      <c r="G48" s="8" t="n">
        <v>4</v>
      </c>
      <c r="H48" s="9" t="n">
        <f aca="false">E48*G48</f>
        <v>4</v>
      </c>
      <c r="I48" s="5"/>
      <c r="J48" s="5"/>
    </row>
    <row r="49" customFormat="false" ht="23.85" hidden="false" customHeight="false" outlineLevel="0" collapsed="false">
      <c r="A49" s="4" t="n">
        <v>45</v>
      </c>
      <c r="B49" s="5" t="s">
        <v>145</v>
      </c>
      <c r="C49" s="6" t="s">
        <v>154</v>
      </c>
      <c r="D49" s="5" t="s">
        <v>155</v>
      </c>
      <c r="E49" s="7" t="n">
        <v>1</v>
      </c>
      <c r="F49" s="4" t="s">
        <v>98</v>
      </c>
      <c r="G49" s="8" t="n">
        <v>3</v>
      </c>
      <c r="H49" s="9" t="n">
        <f aca="false">E49*G49</f>
        <v>3</v>
      </c>
      <c r="I49" s="5" t="s">
        <v>156</v>
      </c>
      <c r="J49" s="5" t="s">
        <v>157</v>
      </c>
    </row>
    <row r="50" customFormat="false" ht="15" hidden="false" customHeight="false" outlineLevel="0" collapsed="false">
      <c r="A50" s="4" t="n">
        <v>46</v>
      </c>
      <c r="B50" s="5" t="s">
        <v>145</v>
      </c>
      <c r="C50" s="6" t="s">
        <v>158</v>
      </c>
      <c r="D50" s="5" t="s">
        <v>159</v>
      </c>
      <c r="E50" s="7" t="n">
        <v>2</v>
      </c>
      <c r="F50" s="4" t="s">
        <v>15</v>
      </c>
      <c r="G50" s="8" t="n">
        <v>1.5</v>
      </c>
      <c r="H50" s="9" t="n">
        <f aca="false">E50*G50</f>
        <v>3</v>
      </c>
      <c r="I50" s="5" t="s">
        <v>160</v>
      </c>
      <c r="J50" s="5" t="s">
        <v>161</v>
      </c>
    </row>
    <row r="51" customFormat="false" ht="15" hidden="false" customHeight="false" outlineLevel="0" collapsed="false">
      <c r="A51" s="4" t="n">
        <v>47</v>
      </c>
      <c r="B51" s="5" t="s">
        <v>145</v>
      </c>
      <c r="C51" s="6" t="s">
        <v>162</v>
      </c>
      <c r="D51" s="5" t="s">
        <v>163</v>
      </c>
      <c r="E51" s="7" t="n">
        <v>1</v>
      </c>
      <c r="F51" s="4" t="s">
        <v>38</v>
      </c>
      <c r="G51" s="8" t="n">
        <v>8</v>
      </c>
      <c r="H51" s="9" t="n">
        <f aca="false">E51*G51</f>
        <v>8</v>
      </c>
      <c r="I51" s="5" t="s">
        <v>164</v>
      </c>
      <c r="J51" s="5"/>
    </row>
    <row r="52" customFormat="false" ht="15" hidden="false" customHeight="false" outlineLevel="0" collapsed="false">
      <c r="A52" s="4" t="n">
        <v>48</v>
      </c>
      <c r="B52" s="5" t="s">
        <v>145</v>
      </c>
      <c r="C52" s="6" t="s">
        <v>165</v>
      </c>
      <c r="D52" s="5" t="s">
        <v>166</v>
      </c>
      <c r="E52" s="7" t="n">
        <v>1</v>
      </c>
      <c r="F52" s="4" t="s">
        <v>38</v>
      </c>
      <c r="G52" s="8" t="n">
        <v>5</v>
      </c>
      <c r="H52" s="9" t="n">
        <f aca="false">E52*G52</f>
        <v>5</v>
      </c>
      <c r="I52" s="5" t="s">
        <v>167</v>
      </c>
      <c r="J52" s="5"/>
    </row>
    <row r="53" customFormat="false" ht="23.85" hidden="false" customHeight="false" outlineLevel="0" collapsed="false">
      <c r="A53" s="4" t="n">
        <v>49</v>
      </c>
      <c r="B53" s="5" t="s">
        <v>145</v>
      </c>
      <c r="C53" s="6" t="s">
        <v>168</v>
      </c>
      <c r="D53" s="5"/>
      <c r="E53" s="7" t="n">
        <v>4</v>
      </c>
      <c r="F53" s="4" t="s">
        <v>15</v>
      </c>
      <c r="G53" s="8" t="n">
        <v>0.5</v>
      </c>
      <c r="H53" s="9" t="n">
        <f aca="false">E53*G53</f>
        <v>2</v>
      </c>
      <c r="I53" s="5" t="s">
        <v>169</v>
      </c>
      <c r="J53" s="5"/>
    </row>
    <row r="54" customFormat="false" ht="15" hidden="false" customHeight="false" outlineLevel="0" collapsed="false">
      <c r="A54" s="4" t="n">
        <v>50</v>
      </c>
      <c r="B54" s="5" t="s">
        <v>145</v>
      </c>
      <c r="C54" s="6" t="s">
        <v>170</v>
      </c>
      <c r="D54" s="5"/>
      <c r="E54" s="7" t="n">
        <v>1</v>
      </c>
      <c r="F54" s="4" t="s">
        <v>15</v>
      </c>
      <c r="G54" s="8" t="n">
        <v>0.1</v>
      </c>
      <c r="H54" s="9" t="n">
        <f aca="false">E54*G54</f>
        <v>0.1</v>
      </c>
      <c r="I54" s="5" t="s">
        <v>171</v>
      </c>
      <c r="J54" s="5" t="s">
        <v>172</v>
      </c>
    </row>
    <row r="55" customFormat="false" ht="15" hidden="false" customHeight="false" outlineLevel="0" collapsed="false">
      <c r="A55" s="4" t="n">
        <v>51</v>
      </c>
      <c r="B55" s="5" t="s">
        <v>145</v>
      </c>
      <c r="C55" s="6" t="s">
        <v>173</v>
      </c>
      <c r="D55" s="5"/>
      <c r="E55" s="7" t="n">
        <v>1</v>
      </c>
      <c r="F55" s="4" t="s">
        <v>15</v>
      </c>
      <c r="G55" s="8" t="n">
        <v>3</v>
      </c>
      <c r="H55" s="9" t="n">
        <f aca="false">E55*G55</f>
        <v>3</v>
      </c>
      <c r="I55" s="5" t="s">
        <v>174</v>
      </c>
      <c r="J55" s="5" t="s">
        <v>175</v>
      </c>
    </row>
    <row r="56" customFormat="false" ht="15" hidden="false" customHeight="false" outlineLevel="0" collapsed="false">
      <c r="A56" s="4" t="n">
        <v>52</v>
      </c>
      <c r="B56" s="5" t="s">
        <v>176</v>
      </c>
      <c r="C56" s="6" t="s">
        <v>177</v>
      </c>
      <c r="D56" s="5" t="s">
        <v>178</v>
      </c>
      <c r="E56" s="7" t="n">
        <v>1</v>
      </c>
      <c r="F56" s="4" t="s">
        <v>15</v>
      </c>
      <c r="G56" s="8" t="n">
        <v>8</v>
      </c>
      <c r="H56" s="9" t="n">
        <f aca="false">E56*G56</f>
        <v>8</v>
      </c>
      <c r="I56" s="5" t="s">
        <v>179</v>
      </c>
      <c r="J56" s="5" t="s">
        <v>180</v>
      </c>
    </row>
    <row r="57" customFormat="false" ht="23.85" hidden="false" customHeight="false" outlineLevel="0" collapsed="false">
      <c r="A57" s="4" t="n">
        <v>53</v>
      </c>
      <c r="B57" s="5" t="s">
        <v>176</v>
      </c>
      <c r="C57" s="6" t="s">
        <v>181</v>
      </c>
      <c r="D57" s="5" t="s">
        <v>182</v>
      </c>
      <c r="E57" s="7" t="n">
        <v>1</v>
      </c>
      <c r="F57" s="4" t="s">
        <v>38</v>
      </c>
      <c r="G57" s="8" t="n">
        <v>40</v>
      </c>
      <c r="H57" s="9" t="n">
        <f aca="false">E57*G57</f>
        <v>40</v>
      </c>
      <c r="I57" s="5" t="s">
        <v>183</v>
      </c>
      <c r="J57" s="5" t="s">
        <v>184</v>
      </c>
    </row>
    <row r="58" customFormat="false" ht="23.85" hidden="false" customHeight="false" outlineLevel="0" collapsed="false">
      <c r="A58" s="4" t="n">
        <v>54</v>
      </c>
      <c r="B58" s="5" t="s">
        <v>176</v>
      </c>
      <c r="C58" s="6" t="s">
        <v>185</v>
      </c>
      <c r="D58" s="5" t="s">
        <v>186</v>
      </c>
      <c r="E58" s="7" t="n">
        <v>1</v>
      </c>
      <c r="F58" s="4" t="s">
        <v>15</v>
      </c>
      <c r="G58" s="8" t="n">
        <v>15</v>
      </c>
      <c r="H58" s="9" t="n">
        <f aca="false">E58*G58</f>
        <v>15</v>
      </c>
      <c r="I58" s="5" t="s">
        <v>187</v>
      </c>
      <c r="J58" s="5" t="s">
        <v>188</v>
      </c>
    </row>
    <row r="59" customFormat="false" ht="15" hidden="false" customHeight="false" outlineLevel="0" collapsed="false">
      <c r="A59" s="4" t="n">
        <v>55</v>
      </c>
      <c r="B59" s="5" t="s">
        <v>176</v>
      </c>
      <c r="C59" s="6" t="s">
        <v>189</v>
      </c>
      <c r="D59" s="5"/>
      <c r="E59" s="7" t="n">
        <v>4</v>
      </c>
      <c r="F59" s="4" t="s">
        <v>15</v>
      </c>
      <c r="G59" s="8" t="n">
        <v>0.5</v>
      </c>
      <c r="H59" s="9" t="n">
        <f aca="false">E59*G59</f>
        <v>2</v>
      </c>
      <c r="I59" s="5" t="s">
        <v>190</v>
      </c>
      <c r="J59" s="5"/>
    </row>
    <row r="60" customFormat="false" ht="15" hidden="false" customHeight="false" outlineLevel="0" collapsed="false">
      <c r="A60" s="4" t="n">
        <v>56</v>
      </c>
      <c r="B60" s="5" t="s">
        <v>176</v>
      </c>
      <c r="C60" s="6" t="s">
        <v>191</v>
      </c>
      <c r="D60" s="5" t="s">
        <v>192</v>
      </c>
      <c r="E60" s="7" t="n">
        <v>1</v>
      </c>
      <c r="F60" s="4" t="s">
        <v>98</v>
      </c>
      <c r="G60" s="8" t="n">
        <v>3</v>
      </c>
      <c r="H60" s="9" t="n">
        <f aca="false">E60*G60</f>
        <v>3</v>
      </c>
      <c r="I60" s="5" t="s">
        <v>193</v>
      </c>
      <c r="J60" s="5" t="s">
        <v>194</v>
      </c>
    </row>
    <row r="61" customFormat="false" ht="15" hidden="false" customHeight="false" outlineLevel="0" collapsed="false">
      <c r="A61" s="4" t="n">
        <v>57</v>
      </c>
      <c r="B61" s="5" t="s">
        <v>176</v>
      </c>
      <c r="C61" s="6" t="s">
        <v>195</v>
      </c>
      <c r="D61" s="5" t="s">
        <v>196</v>
      </c>
      <c r="E61" s="7" t="n">
        <v>1</v>
      </c>
      <c r="F61" s="4" t="s">
        <v>98</v>
      </c>
      <c r="G61" s="8" t="n">
        <v>3</v>
      </c>
      <c r="H61" s="9" t="n">
        <f aca="false">E61*G61</f>
        <v>3</v>
      </c>
      <c r="I61" s="5" t="s">
        <v>197</v>
      </c>
      <c r="J61" s="5" t="s">
        <v>198</v>
      </c>
    </row>
    <row r="62" customFormat="false" ht="23.85" hidden="false" customHeight="false" outlineLevel="0" collapsed="false">
      <c r="A62" s="4" t="n">
        <v>58</v>
      </c>
      <c r="B62" s="5" t="s">
        <v>176</v>
      </c>
      <c r="C62" s="6" t="s">
        <v>199</v>
      </c>
      <c r="D62" s="5" t="s">
        <v>200</v>
      </c>
      <c r="E62" s="7" t="n">
        <v>1</v>
      </c>
      <c r="F62" s="4" t="s">
        <v>98</v>
      </c>
      <c r="G62" s="8" t="n">
        <v>4</v>
      </c>
      <c r="H62" s="9" t="n">
        <f aca="false">E62*G62</f>
        <v>4</v>
      </c>
      <c r="I62" s="5" t="s">
        <v>201</v>
      </c>
      <c r="J62" s="5"/>
    </row>
    <row r="63" customFormat="false" ht="23.85" hidden="false" customHeight="false" outlineLevel="0" collapsed="false">
      <c r="A63" s="4" t="n">
        <v>59</v>
      </c>
      <c r="B63" s="5" t="s">
        <v>176</v>
      </c>
      <c r="C63" s="6" t="s">
        <v>202</v>
      </c>
      <c r="D63" s="5" t="s">
        <v>203</v>
      </c>
      <c r="E63" s="7" t="n">
        <v>1</v>
      </c>
      <c r="F63" s="4" t="s">
        <v>98</v>
      </c>
      <c r="G63" s="8" t="n">
        <v>4</v>
      </c>
      <c r="H63" s="9" t="n">
        <f aca="false">E63*G63</f>
        <v>4</v>
      </c>
      <c r="I63" s="5" t="s">
        <v>201</v>
      </c>
      <c r="J63" s="5"/>
    </row>
    <row r="64" customFormat="false" ht="23.85" hidden="false" customHeight="false" outlineLevel="0" collapsed="false">
      <c r="A64" s="4" t="n">
        <v>60</v>
      </c>
      <c r="B64" s="5" t="s">
        <v>176</v>
      </c>
      <c r="C64" s="6" t="s">
        <v>204</v>
      </c>
      <c r="D64" s="5" t="s">
        <v>205</v>
      </c>
      <c r="E64" s="7" t="n">
        <v>1</v>
      </c>
      <c r="F64" s="4" t="s">
        <v>98</v>
      </c>
      <c r="G64" s="8" t="n">
        <v>3</v>
      </c>
      <c r="H64" s="9" t="n">
        <f aca="false">E64*G64</f>
        <v>3</v>
      </c>
      <c r="I64" s="5" t="s">
        <v>201</v>
      </c>
      <c r="J64" s="5"/>
    </row>
    <row r="65" customFormat="false" ht="15" hidden="false" customHeight="false" outlineLevel="0" collapsed="false">
      <c r="A65" s="4" t="n">
        <v>61</v>
      </c>
      <c r="B65" s="5" t="s">
        <v>176</v>
      </c>
      <c r="C65" s="6" t="s">
        <v>206</v>
      </c>
      <c r="D65" s="5" t="s">
        <v>207</v>
      </c>
      <c r="E65" s="7" t="n">
        <v>1</v>
      </c>
      <c r="F65" s="4" t="s">
        <v>98</v>
      </c>
      <c r="G65" s="8" t="n">
        <v>2</v>
      </c>
      <c r="H65" s="9" t="n">
        <f aca="false">E65*G65</f>
        <v>2</v>
      </c>
      <c r="I65" s="5" t="s">
        <v>208</v>
      </c>
      <c r="J65" s="5"/>
    </row>
    <row r="66" customFormat="false" ht="23.85" hidden="false" customHeight="false" outlineLevel="0" collapsed="false">
      <c r="A66" s="4" t="n">
        <v>62</v>
      </c>
      <c r="B66" s="5" t="s">
        <v>176</v>
      </c>
      <c r="C66" s="6" t="s">
        <v>209</v>
      </c>
      <c r="D66" s="5"/>
      <c r="E66" s="7" t="n">
        <v>1</v>
      </c>
      <c r="F66" s="4" t="s">
        <v>98</v>
      </c>
      <c r="G66" s="8" t="n">
        <v>3</v>
      </c>
      <c r="H66" s="9" t="n">
        <f aca="false">E66*G66</f>
        <v>3</v>
      </c>
      <c r="I66" s="5" t="s">
        <v>210</v>
      </c>
      <c r="J66" s="5" t="s">
        <v>211</v>
      </c>
    </row>
    <row r="67" customFormat="false" ht="35.05" hidden="false" customHeight="false" outlineLevel="0" collapsed="false">
      <c r="A67" s="4" t="n">
        <v>63</v>
      </c>
      <c r="B67" s="5" t="s">
        <v>176</v>
      </c>
      <c r="C67" s="6" t="s">
        <v>212</v>
      </c>
      <c r="D67" s="5" t="s">
        <v>166</v>
      </c>
      <c r="E67" s="7" t="n">
        <v>1</v>
      </c>
      <c r="F67" s="4" t="s">
        <v>38</v>
      </c>
      <c r="G67" s="8" t="n">
        <v>4</v>
      </c>
      <c r="H67" s="9" t="n">
        <f aca="false">E67*G67</f>
        <v>4</v>
      </c>
      <c r="I67" s="5" t="s">
        <v>213</v>
      </c>
      <c r="J67" s="5" t="s">
        <v>214</v>
      </c>
    </row>
    <row r="68" customFormat="false" ht="23.85" hidden="false" customHeight="false" outlineLevel="0" collapsed="false">
      <c r="A68" s="4" t="n">
        <v>64</v>
      </c>
      <c r="B68" s="5" t="s">
        <v>176</v>
      </c>
      <c r="C68" s="6" t="s">
        <v>215</v>
      </c>
      <c r="D68" s="5" t="s">
        <v>216</v>
      </c>
      <c r="E68" s="7" t="n">
        <v>1</v>
      </c>
      <c r="F68" s="4" t="s">
        <v>38</v>
      </c>
      <c r="G68" s="8" t="n">
        <v>3</v>
      </c>
      <c r="H68" s="9" t="n">
        <f aca="false">E68*G68</f>
        <v>3</v>
      </c>
      <c r="I68" s="5" t="s">
        <v>217</v>
      </c>
      <c r="J68" s="5" t="s">
        <v>218</v>
      </c>
    </row>
    <row r="69" customFormat="false" ht="23.85" hidden="false" customHeight="false" outlineLevel="0" collapsed="false">
      <c r="A69" s="4" t="n">
        <v>65</v>
      </c>
      <c r="B69" s="5" t="s">
        <v>176</v>
      </c>
      <c r="C69" s="6" t="s">
        <v>219</v>
      </c>
      <c r="D69" s="5" t="s">
        <v>220</v>
      </c>
      <c r="E69" s="7" t="n">
        <v>1</v>
      </c>
      <c r="F69" s="4" t="s">
        <v>98</v>
      </c>
      <c r="G69" s="8" t="n">
        <v>1</v>
      </c>
      <c r="H69" s="9" t="n">
        <f aca="false">E69*G69</f>
        <v>1</v>
      </c>
      <c r="I69" s="5" t="s">
        <v>221</v>
      </c>
      <c r="J69" s="5"/>
    </row>
    <row r="70" customFormat="false" ht="23.85" hidden="false" customHeight="false" outlineLevel="0" collapsed="false">
      <c r="A70" s="4" t="n">
        <v>66</v>
      </c>
      <c r="B70" s="5" t="s">
        <v>176</v>
      </c>
      <c r="C70" s="6" t="s">
        <v>222</v>
      </c>
      <c r="D70" s="5" t="s">
        <v>223</v>
      </c>
      <c r="E70" s="7" t="n">
        <v>1</v>
      </c>
      <c r="F70" s="4" t="s">
        <v>38</v>
      </c>
      <c r="G70" s="8" t="n">
        <v>3</v>
      </c>
      <c r="H70" s="9" t="n">
        <f aca="false">E70*G70</f>
        <v>3</v>
      </c>
      <c r="I70" s="5" t="s">
        <v>224</v>
      </c>
      <c r="J70" s="5"/>
    </row>
    <row r="71" customFormat="false" ht="23.85" hidden="false" customHeight="false" outlineLevel="0" collapsed="false">
      <c r="A71" s="4" t="n">
        <v>67</v>
      </c>
      <c r="B71" s="5" t="s">
        <v>176</v>
      </c>
      <c r="C71" s="6" t="s">
        <v>225</v>
      </c>
      <c r="D71" s="5" t="s">
        <v>226</v>
      </c>
      <c r="E71" s="7" t="n">
        <v>3</v>
      </c>
      <c r="F71" s="4" t="s">
        <v>15</v>
      </c>
      <c r="G71" s="8" t="n">
        <v>20</v>
      </c>
      <c r="H71" s="9" t="n">
        <f aca="false">E71*G71</f>
        <v>60</v>
      </c>
      <c r="I71" s="5" t="s">
        <v>227</v>
      </c>
      <c r="J71" s="5" t="s">
        <v>228</v>
      </c>
    </row>
    <row r="72" customFormat="false" ht="23.85" hidden="false" customHeight="false" outlineLevel="0" collapsed="false">
      <c r="A72" s="4" t="n">
        <v>68</v>
      </c>
      <c r="B72" s="5" t="s">
        <v>176</v>
      </c>
      <c r="C72" s="6" t="s">
        <v>229</v>
      </c>
      <c r="D72" s="5"/>
      <c r="E72" s="7" t="n">
        <v>1</v>
      </c>
      <c r="F72" s="4" t="s">
        <v>15</v>
      </c>
      <c r="G72" s="8" t="n">
        <v>22</v>
      </c>
      <c r="H72" s="9" t="n">
        <f aca="false">E72*G72</f>
        <v>22</v>
      </c>
      <c r="I72" s="5" t="s">
        <v>230</v>
      </c>
      <c r="J72" s="5" t="s">
        <v>231</v>
      </c>
    </row>
    <row r="73" customFormat="false" ht="15" hidden="false" customHeight="false" outlineLevel="0" collapsed="false">
      <c r="A73" s="10"/>
      <c r="B73" s="10"/>
      <c r="C73" s="11" t="s">
        <v>232</v>
      </c>
      <c r="D73" s="10"/>
      <c r="E73" s="10"/>
      <c r="F73" s="10"/>
      <c r="G73" s="10"/>
      <c r="H73" s="12" t="n">
        <f aca="false">SUM(H5:H72)</f>
        <v>431.04</v>
      </c>
      <c r="I73" s="10"/>
      <c r="J73" s="10"/>
    </row>
    <row r="75" customFormat="false" ht="15" hidden="false" customHeight="false" outlineLevel="0" collapsed="false">
      <c r="C75" s="13" t="s">
        <v>233</v>
      </c>
      <c r="H75" s="14"/>
    </row>
    <row r="76" customFormat="false" ht="15" hidden="false" customHeight="false" outlineLevel="0" collapsed="false">
      <c r="C76" s="5" t="s">
        <v>12</v>
      </c>
      <c r="H76" s="9" t="n">
        <f aca="false">SUMIF($B$5:$B$72,C76,$H$5:$H$72)</f>
        <v>95.55</v>
      </c>
    </row>
    <row r="77" customFormat="false" ht="15" hidden="false" customHeight="false" outlineLevel="0" collapsed="false">
      <c r="C77" s="5" t="s">
        <v>63</v>
      </c>
      <c r="H77" s="9" t="n">
        <f aca="false">SUMIF($B$5:$B$72,C77,$H$5:$H$72)</f>
        <v>62.89</v>
      </c>
    </row>
    <row r="78" customFormat="false" ht="15" hidden="false" customHeight="false" outlineLevel="0" collapsed="false">
      <c r="C78" s="5" t="s">
        <v>106</v>
      </c>
      <c r="H78" s="9" t="n">
        <f aca="false">SUMIF($B$5:$B$72,C78,$H$5:$H$72)</f>
        <v>28.5</v>
      </c>
    </row>
    <row r="79" customFormat="false" ht="15" hidden="false" customHeight="false" outlineLevel="0" collapsed="false">
      <c r="C79" s="5" t="s">
        <v>145</v>
      </c>
      <c r="H79" s="9" t="n">
        <f aca="false">SUMIF($B$5:$B$72,C79,$H$5:$H$72)</f>
        <v>64.1</v>
      </c>
    </row>
    <row r="80" customFormat="false" ht="15" hidden="false" customHeight="false" outlineLevel="0" collapsed="false">
      <c r="C80" s="5" t="s">
        <v>176</v>
      </c>
      <c r="H80" s="9" t="n">
        <f aca="false">SUMIF($B$5:$B$72,C80,$H$5:$H$72)</f>
        <v>180</v>
      </c>
    </row>
    <row r="81" customFormat="false" ht="15" hidden="false" customHeight="false" outlineLevel="0" collapsed="false">
      <c r="C81" s="5" t="s">
        <v>234</v>
      </c>
      <c r="H81" s="9" t="n">
        <f aca="false">H45+H55</f>
        <v>7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15" t="s">
        <v>236</v>
      </c>
    </row>
    <row r="4" customFormat="false" ht="30" hidden="false" customHeight="true" outlineLevel="0" collapsed="false">
      <c r="A4" s="3" t="s">
        <v>4</v>
      </c>
      <c r="B4" s="3" t="s">
        <v>5</v>
      </c>
      <c r="C4" s="3" t="s">
        <v>6</v>
      </c>
      <c r="D4" s="3" t="s">
        <v>237</v>
      </c>
      <c r="E4" s="3" t="s">
        <v>9</v>
      </c>
      <c r="F4" s="3" t="s">
        <v>238</v>
      </c>
    </row>
    <row r="5" customFormat="false" ht="23.85" hidden="false" customHeight="false" outlineLevel="0" collapsed="false">
      <c r="A5" s="6" t="s">
        <v>239</v>
      </c>
      <c r="B5" s="5"/>
      <c r="C5" s="4" t="n">
        <v>1</v>
      </c>
      <c r="D5" s="9" t="n">
        <v>28.18</v>
      </c>
      <c r="E5" s="9" t="n">
        <f aca="false">C5*D5</f>
        <v>28.18</v>
      </c>
      <c r="F5" s="16" t="s">
        <v>240</v>
      </c>
    </row>
    <row r="6" customFormat="false" ht="15" hidden="false" customHeight="false" outlineLevel="0" collapsed="false">
      <c r="A6" s="6" t="s">
        <v>241</v>
      </c>
      <c r="B6" s="5" t="s">
        <v>242</v>
      </c>
      <c r="C6" s="4" t="n">
        <v>1</v>
      </c>
      <c r="D6" s="9" t="n">
        <v>25.59</v>
      </c>
      <c r="E6" s="9" t="n">
        <f aca="false">C6*D6</f>
        <v>25.59</v>
      </c>
      <c r="F6" s="5" t="s">
        <v>243</v>
      </c>
    </row>
    <row r="7" customFormat="false" ht="23.85" hidden="false" customHeight="false" outlineLevel="0" collapsed="false">
      <c r="A7" s="6" t="s">
        <v>244</v>
      </c>
      <c r="B7" s="5" t="s">
        <v>245</v>
      </c>
      <c r="C7" s="4" t="n">
        <v>1</v>
      </c>
      <c r="D7" s="9" t="n">
        <v>184.46</v>
      </c>
      <c r="E7" s="9" t="n">
        <f aca="false">C7*D7</f>
        <v>184.46</v>
      </c>
      <c r="F7" s="5" t="s">
        <v>246</v>
      </c>
    </row>
    <row r="8" customFormat="false" ht="23.85" hidden="false" customHeight="false" outlineLevel="0" collapsed="false">
      <c r="A8" s="6" t="s">
        <v>247</v>
      </c>
      <c r="B8" s="5" t="s">
        <v>248</v>
      </c>
      <c r="C8" s="4" t="n">
        <v>5</v>
      </c>
      <c r="D8" s="9" t="n">
        <v>7.59</v>
      </c>
      <c r="E8" s="9" t="n">
        <f aca="false">C8*D8</f>
        <v>37.95</v>
      </c>
      <c r="F8" s="5" t="s">
        <v>249</v>
      </c>
    </row>
    <row r="9" customFormat="false" ht="23.85" hidden="false" customHeight="false" outlineLevel="0" collapsed="false">
      <c r="A9" s="6" t="s">
        <v>250</v>
      </c>
      <c r="B9" s="5" t="s">
        <v>251</v>
      </c>
      <c r="C9" s="4" t="n">
        <v>1</v>
      </c>
      <c r="D9" s="9" t="n">
        <v>5.9</v>
      </c>
      <c r="E9" s="9" t="n">
        <f aca="false">C9*D9</f>
        <v>5.9</v>
      </c>
      <c r="F9" s="5" t="s">
        <v>252</v>
      </c>
    </row>
    <row r="10" customFormat="false" ht="15" hidden="false" customHeight="false" outlineLevel="0" collapsed="false">
      <c r="A10" s="6" t="s">
        <v>253</v>
      </c>
      <c r="B10" s="5" t="s">
        <v>254</v>
      </c>
      <c r="C10" s="4" t="n">
        <v>1</v>
      </c>
      <c r="D10" s="9" t="n">
        <v>17.29</v>
      </c>
      <c r="E10" s="9" t="n">
        <f aca="false">C10*D10</f>
        <v>17.29</v>
      </c>
      <c r="F10" s="5" t="s">
        <v>255</v>
      </c>
    </row>
    <row r="11" customFormat="false" ht="23.85" hidden="false" customHeight="false" outlineLevel="0" collapsed="false">
      <c r="A11" s="6" t="s">
        <v>256</v>
      </c>
      <c r="B11" s="5" t="s">
        <v>257</v>
      </c>
      <c r="C11" s="4" t="n">
        <v>1</v>
      </c>
      <c r="D11" s="9" t="n">
        <v>13</v>
      </c>
      <c r="E11" s="9" t="n">
        <f aca="false">C11*D11</f>
        <v>13</v>
      </c>
      <c r="F11" s="5" t="s">
        <v>258</v>
      </c>
    </row>
    <row r="12" customFormat="false" ht="15" hidden="false" customHeight="false" outlineLevel="0" collapsed="false">
      <c r="A12" s="6" t="s">
        <v>259</v>
      </c>
      <c r="B12" s="5" t="s">
        <v>260</v>
      </c>
      <c r="C12" s="4" t="n">
        <v>1</v>
      </c>
      <c r="D12" s="9" t="n">
        <v>1.69</v>
      </c>
      <c r="E12" s="9" t="n">
        <f aca="false">C12*D12</f>
        <v>1.69</v>
      </c>
      <c r="F12" s="5" t="s">
        <v>261</v>
      </c>
    </row>
    <row r="13" customFormat="false" ht="15" hidden="false" customHeight="false" outlineLevel="0" collapsed="false">
      <c r="A13" s="6" t="s">
        <v>262</v>
      </c>
      <c r="B13" s="5" t="s">
        <v>263</v>
      </c>
      <c r="C13" s="4" t="n">
        <v>1</v>
      </c>
      <c r="D13" s="9" t="n">
        <v>8.34</v>
      </c>
      <c r="E13" s="9" t="n">
        <f aca="false">C13*D13</f>
        <v>8.34</v>
      </c>
      <c r="F13" s="5" t="s">
        <v>264</v>
      </c>
    </row>
    <row r="14" customFormat="false" ht="15" hidden="false" customHeight="false" outlineLevel="0" collapsed="false">
      <c r="A14" s="6" t="s">
        <v>265</v>
      </c>
      <c r="B14" s="5" t="s">
        <v>266</v>
      </c>
      <c r="C14" s="4" t="n">
        <v>2</v>
      </c>
      <c r="D14" s="9" t="n">
        <v>5.5</v>
      </c>
      <c r="E14" s="9" t="n">
        <f aca="false">C14*D14</f>
        <v>11</v>
      </c>
      <c r="F14" s="5" t="s">
        <v>267</v>
      </c>
    </row>
    <row r="15" customFormat="false" ht="23.85" hidden="false" customHeight="false" outlineLevel="0" collapsed="false">
      <c r="A15" s="6" t="s">
        <v>268</v>
      </c>
      <c r="B15" s="5" t="s">
        <v>269</v>
      </c>
      <c r="C15" s="4" t="n">
        <v>2</v>
      </c>
      <c r="D15" s="9" t="n">
        <v>10.85</v>
      </c>
      <c r="E15" s="9" t="n">
        <f aca="false">C15*D15</f>
        <v>21.7</v>
      </c>
      <c r="F15" s="5" t="s">
        <v>270</v>
      </c>
    </row>
    <row r="16" customFormat="false" ht="15" hidden="false" customHeight="false" outlineLevel="0" collapsed="false">
      <c r="A16" s="6" t="s">
        <v>271</v>
      </c>
      <c r="B16" s="5" t="s">
        <v>272</v>
      </c>
      <c r="C16" s="4" t="n">
        <v>1</v>
      </c>
      <c r="D16" s="9" t="n">
        <v>4.29</v>
      </c>
      <c r="E16" s="9" t="n">
        <f aca="false">C16*D16</f>
        <v>4.29</v>
      </c>
      <c r="F16" s="5" t="s">
        <v>273</v>
      </c>
    </row>
    <row r="17" customFormat="false" ht="15" hidden="false" customHeight="false" outlineLevel="0" collapsed="false">
      <c r="A17" s="6" t="s">
        <v>274</v>
      </c>
      <c r="B17" s="5" t="s">
        <v>275</v>
      </c>
      <c r="C17" s="4" t="n">
        <v>1</v>
      </c>
      <c r="D17" s="9" t="n">
        <v>6.75</v>
      </c>
      <c r="E17" s="9" t="n">
        <f aca="false">C17*D17</f>
        <v>6.75</v>
      </c>
      <c r="F17" s="5" t="s">
        <v>276</v>
      </c>
    </row>
    <row r="18" customFormat="false" ht="15" hidden="false" customHeight="false" outlineLevel="0" collapsed="false">
      <c r="A18" s="6" t="s">
        <v>277</v>
      </c>
      <c r="B18" s="5" t="s">
        <v>278</v>
      </c>
      <c r="C18" s="4" t="n">
        <v>1</v>
      </c>
      <c r="D18" s="9" t="n">
        <v>10.34</v>
      </c>
      <c r="E18" s="9" t="n">
        <f aca="false">C18*D18</f>
        <v>10.34</v>
      </c>
      <c r="F18" s="5" t="s">
        <v>279</v>
      </c>
    </row>
    <row r="19" customFormat="false" ht="15" hidden="false" customHeight="false" outlineLevel="0" collapsed="false">
      <c r="A19" s="6" t="s">
        <v>280</v>
      </c>
      <c r="B19" s="5" t="s">
        <v>281</v>
      </c>
      <c r="C19" s="4" t="n">
        <v>1</v>
      </c>
      <c r="D19" s="9" t="n">
        <v>4.83</v>
      </c>
      <c r="E19" s="9" t="n">
        <f aca="false">C19*D19</f>
        <v>4.83</v>
      </c>
      <c r="F19" s="5" t="s">
        <v>282</v>
      </c>
    </row>
    <row r="20" customFormat="false" ht="23.85" hidden="false" customHeight="false" outlineLevel="0" collapsed="false">
      <c r="A20" s="6" t="s">
        <v>283</v>
      </c>
      <c r="B20" s="5" t="s">
        <v>284</v>
      </c>
      <c r="C20" s="4" t="n">
        <v>1</v>
      </c>
      <c r="D20" s="9" t="n">
        <v>5.94</v>
      </c>
      <c r="E20" s="9" t="n">
        <f aca="false">C20*D20</f>
        <v>5.94</v>
      </c>
      <c r="F20" s="5" t="s">
        <v>285</v>
      </c>
    </row>
    <row r="21" customFormat="false" ht="23.85" hidden="false" customHeight="false" outlineLevel="0" collapsed="false">
      <c r="A21" s="6" t="s">
        <v>286</v>
      </c>
      <c r="B21" s="5" t="s">
        <v>287</v>
      </c>
      <c r="C21" s="4" t="n">
        <v>8</v>
      </c>
      <c r="D21" s="9" t="n">
        <v>5.53</v>
      </c>
      <c r="E21" s="9" t="n">
        <f aca="false">C21*D21</f>
        <v>44.24</v>
      </c>
      <c r="F21" s="5" t="s">
        <v>288</v>
      </c>
    </row>
    <row r="22" customFormat="false" ht="23.85" hidden="false" customHeight="false" outlineLevel="0" collapsed="false">
      <c r="A22" s="6" t="s">
        <v>289</v>
      </c>
      <c r="B22" s="5" t="s">
        <v>290</v>
      </c>
      <c r="C22" s="4" t="n">
        <v>2</v>
      </c>
      <c r="D22" s="9" t="n">
        <v>3.31</v>
      </c>
      <c r="E22" s="9" t="n">
        <f aca="false">C22*D22</f>
        <v>6.62</v>
      </c>
      <c r="F22" s="5" t="s">
        <v>291</v>
      </c>
    </row>
    <row r="23" customFormat="false" ht="15" hidden="false" customHeight="false" outlineLevel="0" collapsed="false">
      <c r="A23" s="11" t="s">
        <v>292</v>
      </c>
      <c r="B23" s="10"/>
      <c r="C23" s="10"/>
      <c r="D23" s="10"/>
      <c r="E23" s="12" t="n">
        <f aca="false">SUM(E5:E22)</f>
        <v>438.11</v>
      </c>
      <c r="F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7" min="3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17" t="s">
        <v>294</v>
      </c>
    </row>
    <row r="3" customFormat="false" ht="15" hidden="false" customHeight="false" outlineLevel="0" collapsed="false">
      <c r="A3" s="18" t="s">
        <v>295</v>
      </c>
      <c r="B3" s="19" t="n">
        <v>1.27</v>
      </c>
      <c r="C3" s="18" t="s">
        <v>296</v>
      </c>
      <c r="D3" s="19" t="n">
        <v>0.5</v>
      </c>
    </row>
    <row r="5" customFormat="false" ht="30" hidden="false" customHeight="true" outlineLevel="0" collapsed="false">
      <c r="A5" s="3" t="s">
        <v>297</v>
      </c>
      <c r="B5" s="3" t="s">
        <v>6</v>
      </c>
      <c r="C5" s="3" t="s">
        <v>298</v>
      </c>
      <c r="D5" s="3" t="s">
        <v>299</v>
      </c>
      <c r="E5" s="3" t="s">
        <v>300</v>
      </c>
      <c r="F5" s="3" t="s">
        <v>301</v>
      </c>
      <c r="G5" s="3" t="s">
        <v>302</v>
      </c>
      <c r="H5" s="3" t="s">
        <v>303</v>
      </c>
    </row>
    <row r="6" customFormat="false" ht="15" hidden="false" customHeight="false" outlineLevel="0" collapsed="false">
      <c r="A6" s="6" t="s">
        <v>304</v>
      </c>
      <c r="B6" s="4" t="n">
        <v>1</v>
      </c>
      <c r="C6" s="20" t="n">
        <v>12.5</v>
      </c>
      <c r="D6" s="20" t="n">
        <f aca="false">B6*C6</f>
        <v>12.5</v>
      </c>
      <c r="E6" s="20" t="n">
        <v>93.5</v>
      </c>
      <c r="F6" s="20" t="n">
        <v>93.5</v>
      </c>
      <c r="G6" s="20" t="n">
        <v>8</v>
      </c>
      <c r="H6" s="5" t="s">
        <v>305</v>
      </c>
    </row>
    <row r="7" customFormat="false" ht="15" hidden="false" customHeight="false" outlineLevel="0" collapsed="false">
      <c r="A7" s="6" t="s">
        <v>306</v>
      </c>
      <c r="B7" s="4" t="n">
        <v>1</v>
      </c>
      <c r="C7" s="20" t="n">
        <v>12.5</v>
      </c>
      <c r="D7" s="20" t="n">
        <f aca="false">B7*C7</f>
        <v>12.5</v>
      </c>
      <c r="E7" s="20" t="n">
        <v>93.5</v>
      </c>
      <c r="F7" s="20" t="n">
        <v>93.5</v>
      </c>
      <c r="G7" s="20" t="n">
        <v>8</v>
      </c>
      <c r="H7" s="5" t="s">
        <v>305</v>
      </c>
    </row>
    <row r="8" customFormat="false" ht="23.85" hidden="false" customHeight="false" outlineLevel="0" collapsed="false">
      <c r="A8" s="6" t="s">
        <v>307</v>
      </c>
      <c r="B8" s="4" t="n">
        <v>1</v>
      </c>
      <c r="C8" s="20" t="n">
        <v>22.5</v>
      </c>
      <c r="D8" s="20" t="n">
        <f aca="false">B8*C8</f>
        <v>22.5</v>
      </c>
      <c r="E8" s="20" t="n">
        <v>34</v>
      </c>
      <c r="F8" s="20" t="n">
        <v>34</v>
      </c>
      <c r="G8" s="20" t="n">
        <v>97.5</v>
      </c>
      <c r="H8" s="5" t="s">
        <v>308</v>
      </c>
    </row>
    <row r="9" customFormat="false" ht="15" hidden="false" customHeight="false" outlineLevel="0" collapsed="false">
      <c r="A9" s="6" t="s">
        <v>309</v>
      </c>
      <c r="B9" s="4" t="n">
        <v>2</v>
      </c>
      <c r="C9" s="20" t="n">
        <v>13.6</v>
      </c>
      <c r="D9" s="20" t="n">
        <f aca="false">B9*C9</f>
        <v>27.2</v>
      </c>
      <c r="E9" s="20" t="n">
        <v>91.8</v>
      </c>
      <c r="F9" s="20" t="n">
        <v>91.8</v>
      </c>
      <c r="G9" s="20" t="n">
        <v>14.8</v>
      </c>
      <c r="H9" s="5"/>
    </row>
    <row r="10" customFormat="false" ht="15" hidden="false" customHeight="false" outlineLevel="0" collapsed="false">
      <c r="A10" s="6" t="s">
        <v>310</v>
      </c>
      <c r="B10" s="4" t="n">
        <v>0</v>
      </c>
      <c r="C10" s="20" t="n">
        <v>13.6</v>
      </c>
      <c r="D10" s="20" t="n">
        <f aca="false">B10*C10</f>
        <v>0</v>
      </c>
      <c r="E10" s="20" t="n">
        <v>91.8</v>
      </c>
      <c r="F10" s="20" t="n">
        <v>91.8</v>
      </c>
      <c r="G10" s="20" t="n">
        <v>14.8</v>
      </c>
      <c r="H10" s="5" t="s">
        <v>311</v>
      </c>
    </row>
    <row r="11" customFormat="false" ht="15" hidden="false" customHeight="false" outlineLevel="0" collapsed="false">
      <c r="A11" s="6" t="s">
        <v>312</v>
      </c>
      <c r="B11" s="4" t="n">
        <v>1</v>
      </c>
      <c r="C11" s="20" t="n">
        <v>10.6</v>
      </c>
      <c r="D11" s="20" t="n">
        <f aca="false">B11*C11</f>
        <v>10.6</v>
      </c>
      <c r="E11" s="20" t="n">
        <v>123</v>
      </c>
      <c r="F11" s="20" t="n">
        <v>39</v>
      </c>
      <c r="G11" s="20" t="n">
        <v>8</v>
      </c>
      <c r="H11" s="5" t="s">
        <v>313</v>
      </c>
    </row>
    <row r="12" customFormat="false" ht="15" hidden="false" customHeight="false" outlineLevel="0" collapsed="false">
      <c r="A12" s="6" t="s">
        <v>314</v>
      </c>
      <c r="B12" s="4" t="n">
        <v>1</v>
      </c>
      <c r="C12" s="20" t="n">
        <v>10.7</v>
      </c>
      <c r="D12" s="20" t="n">
        <f aca="false">B12*C12</f>
        <v>10.7</v>
      </c>
      <c r="E12" s="20" t="n">
        <v>93.5</v>
      </c>
      <c r="F12" s="20" t="n">
        <v>93.5</v>
      </c>
      <c r="G12" s="20" t="n">
        <v>8</v>
      </c>
      <c r="H12" s="5" t="s">
        <v>315</v>
      </c>
    </row>
    <row r="13" customFormat="false" ht="15" hidden="false" customHeight="false" outlineLevel="0" collapsed="false">
      <c r="A13" s="6" t="s">
        <v>316</v>
      </c>
      <c r="B13" s="4" t="n">
        <v>1</v>
      </c>
      <c r="C13" s="20" t="n">
        <v>10.7</v>
      </c>
      <c r="D13" s="20" t="n">
        <f aca="false">B13*C13</f>
        <v>10.7</v>
      </c>
      <c r="E13" s="20" t="n">
        <v>93.5</v>
      </c>
      <c r="F13" s="20" t="n">
        <v>93.5</v>
      </c>
      <c r="G13" s="20" t="n">
        <v>8</v>
      </c>
      <c r="H13" s="5" t="s">
        <v>315</v>
      </c>
    </row>
    <row r="14" customFormat="false" ht="15" hidden="false" customHeight="false" outlineLevel="0" collapsed="false">
      <c r="A14" s="6" t="s">
        <v>317</v>
      </c>
      <c r="B14" s="4" t="n">
        <v>1</v>
      </c>
      <c r="C14" s="20" t="n">
        <v>572</v>
      </c>
      <c r="D14" s="20" t="n">
        <f aca="false">B14*C14</f>
        <v>572</v>
      </c>
      <c r="E14" s="20" t="n">
        <v>182.8</v>
      </c>
      <c r="F14" s="20" t="n">
        <v>158</v>
      </c>
      <c r="G14" s="20" t="n">
        <v>109</v>
      </c>
      <c r="H14" s="5" t="s">
        <v>318</v>
      </c>
    </row>
    <row r="15" customFormat="false" ht="15" hidden="false" customHeight="false" outlineLevel="0" collapsed="false">
      <c r="A15" s="6" t="s">
        <v>319</v>
      </c>
      <c r="B15" s="4" t="n">
        <v>1</v>
      </c>
      <c r="C15" s="20" t="n">
        <v>81.2</v>
      </c>
      <c r="D15" s="20" t="n">
        <f aca="false">B15*C15</f>
        <v>81.2</v>
      </c>
      <c r="E15" s="20" t="n">
        <v>175.6</v>
      </c>
      <c r="F15" s="20" t="n">
        <v>121.8</v>
      </c>
      <c r="G15" s="20" t="n">
        <v>11</v>
      </c>
      <c r="H15" s="5" t="s">
        <v>320</v>
      </c>
    </row>
    <row r="16" customFormat="false" ht="15" hidden="false" customHeight="false" outlineLevel="0" collapsed="false">
      <c r="A16" s="6" t="s">
        <v>321</v>
      </c>
      <c r="B16" s="4" t="n">
        <v>1</v>
      </c>
      <c r="C16" s="20" t="n">
        <v>2.7</v>
      </c>
      <c r="D16" s="20" t="n">
        <f aca="false">B16*C16</f>
        <v>2.7</v>
      </c>
      <c r="E16" s="20" t="n">
        <v>22.3</v>
      </c>
      <c r="F16" s="20" t="n">
        <v>63.5</v>
      </c>
      <c r="G16" s="20" t="n">
        <v>2</v>
      </c>
      <c r="H16" s="5"/>
    </row>
    <row r="17" customFormat="false" ht="15" hidden="false" customHeight="false" outlineLevel="0" collapsed="false">
      <c r="A17" s="6" t="s">
        <v>322</v>
      </c>
      <c r="B17" s="4" t="n">
        <v>1</v>
      </c>
      <c r="C17" s="20" t="n">
        <v>12.2</v>
      </c>
      <c r="D17" s="20" t="n">
        <f aca="false">B17*C17</f>
        <v>12.2</v>
      </c>
      <c r="E17" s="20" t="n">
        <v>42</v>
      </c>
      <c r="F17" s="20" t="n">
        <v>36.1</v>
      </c>
      <c r="G17" s="20" t="n">
        <v>52</v>
      </c>
      <c r="H17" s="5"/>
    </row>
    <row r="18" customFormat="false" ht="15" hidden="false" customHeight="false" outlineLevel="0" collapsed="false">
      <c r="A18" s="6" t="s">
        <v>323</v>
      </c>
      <c r="B18" s="4" t="n">
        <v>1</v>
      </c>
      <c r="C18" s="20" t="n">
        <v>12.2</v>
      </c>
      <c r="D18" s="20" t="n">
        <f aca="false">B18*C18</f>
        <v>12.2</v>
      </c>
      <c r="E18" s="20" t="n">
        <v>42</v>
      </c>
      <c r="F18" s="20" t="n">
        <v>36.1</v>
      </c>
      <c r="G18" s="20" t="n">
        <v>52</v>
      </c>
      <c r="H18" s="5"/>
    </row>
    <row r="19" customFormat="false" ht="15" hidden="false" customHeight="false" outlineLevel="0" collapsed="false">
      <c r="A19" s="6" t="s">
        <v>324</v>
      </c>
      <c r="B19" s="4" t="n">
        <v>1</v>
      </c>
      <c r="C19" s="20" t="n">
        <v>17.2</v>
      </c>
      <c r="D19" s="20" t="n">
        <f aca="false">B19*C19</f>
        <v>17.2</v>
      </c>
      <c r="E19" s="20" t="n">
        <v>17</v>
      </c>
      <c r="F19" s="20" t="n">
        <v>104</v>
      </c>
      <c r="G19" s="20" t="n">
        <v>11</v>
      </c>
      <c r="H19" s="5" t="s">
        <v>320</v>
      </c>
    </row>
    <row r="20" customFormat="false" ht="15" hidden="false" customHeight="false" outlineLevel="0" collapsed="false">
      <c r="A20" s="6" t="s">
        <v>325</v>
      </c>
      <c r="B20" s="4" t="n">
        <v>1</v>
      </c>
      <c r="C20" s="20" t="n">
        <v>4.7</v>
      </c>
      <c r="D20" s="20" t="n">
        <f aca="false">B20*C20</f>
        <v>4.7</v>
      </c>
      <c r="E20" s="20" t="n">
        <v>25</v>
      </c>
      <c r="F20" s="20" t="n">
        <v>80</v>
      </c>
      <c r="G20" s="20" t="n">
        <v>14.7</v>
      </c>
      <c r="H20" s="5"/>
    </row>
    <row r="21" customFormat="false" ht="15" hidden="false" customHeight="false" outlineLevel="0" collapsed="false">
      <c r="A21" s="6" t="s">
        <v>326</v>
      </c>
      <c r="B21" s="4" t="n">
        <v>1</v>
      </c>
      <c r="C21" s="20" t="n">
        <v>0.9</v>
      </c>
      <c r="D21" s="20" t="n">
        <f aca="false">B21*C21</f>
        <v>0.9</v>
      </c>
      <c r="E21" s="20" t="n">
        <v>17.7</v>
      </c>
      <c r="F21" s="20" t="n">
        <v>35.2</v>
      </c>
      <c r="G21" s="20" t="n">
        <v>2.9</v>
      </c>
      <c r="H21" s="5"/>
    </row>
    <row r="22" customFormat="false" ht="15" hidden="false" customHeight="false" outlineLevel="0" collapsed="false">
      <c r="A22" s="6" t="s">
        <v>327</v>
      </c>
      <c r="B22" s="4" t="n">
        <v>1</v>
      </c>
      <c r="C22" s="20" t="n">
        <v>0.9</v>
      </c>
      <c r="D22" s="20" t="n">
        <f aca="false">B22*C22</f>
        <v>0.9</v>
      </c>
      <c r="E22" s="20" t="n">
        <v>17.7</v>
      </c>
      <c r="F22" s="20" t="n">
        <v>35.2</v>
      </c>
      <c r="G22" s="20" t="n">
        <v>2.9</v>
      </c>
      <c r="H22" s="5"/>
    </row>
    <row r="23" customFormat="false" ht="15" hidden="false" customHeight="false" outlineLevel="0" collapsed="false">
      <c r="A23" s="6" t="s">
        <v>328</v>
      </c>
      <c r="B23" s="4" t="n">
        <v>1</v>
      </c>
      <c r="C23" s="20" t="n">
        <v>0.5</v>
      </c>
      <c r="D23" s="20" t="n">
        <f aca="false">B23*C23</f>
        <v>0.5</v>
      </c>
      <c r="E23" s="20" t="n">
        <v>7</v>
      </c>
      <c r="F23" s="20" t="n">
        <v>35</v>
      </c>
      <c r="G23" s="20" t="n">
        <v>3</v>
      </c>
      <c r="H23" s="5"/>
    </row>
    <row r="24" customFormat="false" ht="15" hidden="false" customHeight="false" outlineLevel="0" collapsed="false">
      <c r="A24" s="6" t="s">
        <v>329</v>
      </c>
      <c r="B24" s="4" t="n">
        <v>1</v>
      </c>
      <c r="C24" s="20" t="n">
        <v>0.1</v>
      </c>
      <c r="D24" s="20" t="n">
        <f aca="false">B24*C24</f>
        <v>0.1</v>
      </c>
      <c r="E24" s="20" t="n">
        <v>7.2</v>
      </c>
      <c r="F24" s="20" t="n">
        <v>12.6</v>
      </c>
      <c r="G24" s="20" t="n">
        <v>3</v>
      </c>
      <c r="H24" s="5"/>
    </row>
    <row r="25" customFormat="false" ht="15" hidden="false" customHeight="false" outlineLevel="0" collapsed="false">
      <c r="A25" s="6" t="s">
        <v>330</v>
      </c>
      <c r="B25" s="4" t="n">
        <v>1</v>
      </c>
      <c r="C25" s="20" t="n">
        <v>39.4</v>
      </c>
      <c r="D25" s="20" t="n">
        <f aca="false">B25*C25</f>
        <v>39.4</v>
      </c>
      <c r="E25" s="20" t="n">
        <v>32</v>
      </c>
      <c r="F25" s="20" t="n">
        <v>72</v>
      </c>
      <c r="G25" s="20" t="n">
        <v>35.5</v>
      </c>
      <c r="H25" s="5" t="s">
        <v>331</v>
      </c>
    </row>
    <row r="26" customFormat="false" ht="15" hidden="false" customHeight="false" outlineLevel="0" collapsed="false">
      <c r="A26" s="6" t="s">
        <v>332</v>
      </c>
      <c r="B26" s="4" t="n">
        <v>1</v>
      </c>
      <c r="C26" s="20" t="n">
        <v>6.4</v>
      </c>
      <c r="D26" s="20" t="n">
        <f aca="false">B26*C26</f>
        <v>6.4</v>
      </c>
      <c r="E26" s="20" t="n">
        <v>8</v>
      </c>
      <c r="F26" s="20" t="n">
        <v>104</v>
      </c>
      <c r="G26" s="20" t="n">
        <v>8</v>
      </c>
      <c r="H26" s="5" t="s">
        <v>333</v>
      </c>
    </row>
    <row r="27" customFormat="false" ht="23.85" hidden="false" customHeight="false" outlineLevel="0" collapsed="false">
      <c r="A27" s="6" t="s">
        <v>334</v>
      </c>
      <c r="B27" s="4" t="n">
        <v>1</v>
      </c>
      <c r="C27" s="20" t="n">
        <v>5.3</v>
      </c>
      <c r="D27" s="20" t="n">
        <f aca="false">B27*C27</f>
        <v>5.3</v>
      </c>
      <c r="E27" s="20" t="n">
        <v>29.1</v>
      </c>
      <c r="F27" s="20" t="n">
        <v>29.8</v>
      </c>
      <c r="G27" s="20" t="n">
        <v>73</v>
      </c>
      <c r="H27" s="5" t="s">
        <v>335</v>
      </c>
    </row>
    <row r="28" customFormat="false" ht="23.85" hidden="false" customHeight="false" outlineLevel="0" collapsed="false">
      <c r="A28" s="6" t="s">
        <v>336</v>
      </c>
      <c r="B28" s="4" t="n">
        <v>1</v>
      </c>
      <c r="C28" s="20" t="n">
        <v>5.3</v>
      </c>
      <c r="D28" s="20" t="n">
        <f aca="false">B28*C28</f>
        <v>5.3</v>
      </c>
      <c r="E28" s="20" t="n">
        <v>29.1</v>
      </c>
      <c r="F28" s="20" t="n">
        <v>29.8</v>
      </c>
      <c r="G28" s="20" t="n">
        <v>73</v>
      </c>
      <c r="H28" s="5" t="s">
        <v>335</v>
      </c>
    </row>
    <row r="29" customFormat="false" ht="15" hidden="false" customHeight="false" outlineLevel="0" collapsed="false">
      <c r="A29" s="6" t="s">
        <v>337</v>
      </c>
      <c r="B29" s="4" t="n">
        <v>1</v>
      </c>
      <c r="C29" s="20" t="n">
        <v>5.6</v>
      </c>
      <c r="D29" s="20" t="n">
        <f aca="false">B29*C29</f>
        <v>5.6</v>
      </c>
      <c r="E29" s="20" t="n">
        <v>31.6</v>
      </c>
      <c r="F29" s="20" t="n">
        <v>31.4</v>
      </c>
      <c r="G29" s="20" t="n">
        <v>13.9</v>
      </c>
      <c r="H29" s="5"/>
    </row>
    <row r="30" customFormat="false" ht="15" hidden="false" customHeight="false" outlineLevel="0" collapsed="false">
      <c r="A30" s="6" t="s">
        <v>338</v>
      </c>
      <c r="B30" s="4" t="n">
        <v>1</v>
      </c>
      <c r="C30" s="20" t="n">
        <v>8.3</v>
      </c>
      <c r="D30" s="20" t="n">
        <f aca="false">B30*C30</f>
        <v>8.3</v>
      </c>
      <c r="E30" s="20" t="n">
        <v>42</v>
      </c>
      <c r="F30" s="20" t="n">
        <v>42</v>
      </c>
      <c r="G30" s="20" t="n">
        <v>24.5</v>
      </c>
      <c r="H30" s="5" t="s">
        <v>339</v>
      </c>
    </row>
    <row r="31" customFormat="false" ht="15" hidden="false" customHeight="false" outlineLevel="0" collapsed="false">
      <c r="A31" s="6" t="s">
        <v>340</v>
      </c>
      <c r="B31" s="4" t="n">
        <v>1</v>
      </c>
      <c r="C31" s="20" t="n">
        <v>0.4</v>
      </c>
      <c r="D31" s="20" t="n">
        <f aca="false">B31*C31</f>
        <v>0.4</v>
      </c>
      <c r="E31" s="20" t="n">
        <v>15.8</v>
      </c>
      <c r="F31" s="20" t="n">
        <v>15.8</v>
      </c>
      <c r="G31" s="20" t="n">
        <v>3.7</v>
      </c>
      <c r="H31" s="5"/>
    </row>
    <row r="32" customFormat="false" ht="15" hidden="false" customHeight="false" outlineLevel="0" collapsed="false">
      <c r="A32" s="6" t="s">
        <v>341</v>
      </c>
      <c r="B32" s="4" t="n">
        <v>1</v>
      </c>
      <c r="C32" s="20" t="n">
        <v>0.6</v>
      </c>
      <c r="D32" s="20" t="n">
        <f aca="false">B32*C32</f>
        <v>0.6</v>
      </c>
      <c r="E32" s="20" t="n">
        <v>15.8</v>
      </c>
      <c r="F32" s="20" t="n">
        <v>15.8</v>
      </c>
      <c r="G32" s="20" t="n">
        <v>5</v>
      </c>
      <c r="H32" s="5"/>
    </row>
    <row r="33" customFormat="false" ht="15" hidden="false" customHeight="false" outlineLevel="0" collapsed="false">
      <c r="A33" s="6" t="s">
        <v>342</v>
      </c>
      <c r="B33" s="4" t="n">
        <v>1</v>
      </c>
      <c r="C33" s="20" t="n">
        <v>0</v>
      </c>
      <c r="D33" s="20" t="n">
        <f aca="false">B33*C33</f>
        <v>0</v>
      </c>
      <c r="E33" s="20" t="n">
        <v>10.8</v>
      </c>
      <c r="F33" s="20" t="n">
        <v>10.8</v>
      </c>
      <c r="G33" s="20" t="n">
        <v>1</v>
      </c>
      <c r="H33" s="5"/>
    </row>
    <row r="34" customFormat="false" ht="15" hidden="false" customHeight="false" outlineLevel="0" collapsed="false">
      <c r="A34" s="6" t="s">
        <v>343</v>
      </c>
      <c r="B34" s="4" t="n">
        <v>1</v>
      </c>
      <c r="C34" s="20" t="n">
        <v>8.4</v>
      </c>
      <c r="D34" s="20" t="n">
        <f aca="false">B34*C34</f>
        <v>8.4</v>
      </c>
      <c r="E34" s="20" t="n">
        <v>34</v>
      </c>
      <c r="F34" s="20" t="n">
        <v>34</v>
      </c>
      <c r="G34" s="20" t="n">
        <v>19</v>
      </c>
      <c r="H34" s="5"/>
    </row>
    <row r="35" customFormat="false" ht="15" hidden="false" customHeight="false" outlineLevel="0" collapsed="false">
      <c r="A35" s="6" t="s">
        <v>344</v>
      </c>
      <c r="B35" s="4" t="n">
        <v>1</v>
      </c>
      <c r="C35" s="20" t="n">
        <v>6.5</v>
      </c>
      <c r="D35" s="20" t="n">
        <f aca="false">B35*C35</f>
        <v>6.5</v>
      </c>
      <c r="E35" s="20" t="n">
        <v>31.6</v>
      </c>
      <c r="F35" s="20" t="n">
        <v>31.6</v>
      </c>
      <c r="G35" s="20" t="n">
        <v>19</v>
      </c>
      <c r="H35" s="5"/>
    </row>
    <row r="36" customFormat="false" ht="15" hidden="false" customHeight="false" outlineLevel="0" collapsed="false">
      <c r="A36" s="6" t="s">
        <v>345</v>
      </c>
      <c r="B36" s="4" t="n">
        <v>1</v>
      </c>
      <c r="C36" s="20" t="n">
        <v>8.4</v>
      </c>
      <c r="D36" s="20" t="n">
        <f aca="false">B36*C36</f>
        <v>8.4</v>
      </c>
      <c r="E36" s="20" t="n">
        <v>53.5</v>
      </c>
      <c r="F36" s="20" t="n">
        <v>47</v>
      </c>
      <c r="G36" s="20" t="n">
        <v>4</v>
      </c>
      <c r="H36" s="5"/>
    </row>
    <row r="37" customFormat="false" ht="15" hidden="false" customHeight="false" outlineLevel="0" collapsed="false">
      <c r="A37" s="6" t="s">
        <v>346</v>
      </c>
      <c r="B37" s="4" t="n">
        <v>1</v>
      </c>
      <c r="C37" s="20" t="n">
        <v>5.1</v>
      </c>
      <c r="D37" s="20" t="n">
        <f aca="false">B37*C37</f>
        <v>5.1</v>
      </c>
      <c r="E37" s="20" t="n">
        <v>30</v>
      </c>
      <c r="F37" s="20" t="n">
        <v>30</v>
      </c>
      <c r="G37" s="20" t="n">
        <v>22</v>
      </c>
      <c r="H37" s="5"/>
    </row>
    <row r="38" customFormat="false" ht="15" hidden="false" customHeight="false" outlineLevel="0" collapsed="false">
      <c r="A38" s="6" t="s">
        <v>347</v>
      </c>
      <c r="B38" s="4" t="n">
        <v>1</v>
      </c>
      <c r="C38" s="20" t="n">
        <v>3.7</v>
      </c>
      <c r="D38" s="20" t="n">
        <f aca="false">B38*C38</f>
        <v>3.7</v>
      </c>
      <c r="E38" s="20" t="n">
        <v>18.5</v>
      </c>
      <c r="F38" s="20" t="n">
        <v>35</v>
      </c>
      <c r="G38" s="20" t="n">
        <v>19</v>
      </c>
      <c r="H38" s="5"/>
    </row>
    <row r="39" customFormat="false" ht="23.85" hidden="false" customHeight="false" outlineLevel="0" collapsed="false">
      <c r="A39" s="6" t="s">
        <v>348</v>
      </c>
      <c r="B39" s="4" t="n">
        <v>6</v>
      </c>
      <c r="C39" s="20" t="n">
        <v>0.5</v>
      </c>
      <c r="D39" s="20" t="n">
        <f aca="false">B39*C39</f>
        <v>3</v>
      </c>
      <c r="E39" s="20" t="n">
        <v>23</v>
      </c>
      <c r="F39" s="20" t="n">
        <v>8</v>
      </c>
      <c r="G39" s="20" t="n">
        <v>6</v>
      </c>
      <c r="H39" s="5" t="s">
        <v>349</v>
      </c>
    </row>
    <row r="40" customFormat="false" ht="15" hidden="false" customHeight="false" outlineLevel="0" collapsed="false">
      <c r="A40" s="6" t="s">
        <v>350</v>
      </c>
      <c r="B40" s="4" t="n">
        <v>3</v>
      </c>
      <c r="C40" s="20" t="n">
        <v>17</v>
      </c>
      <c r="D40" s="20" t="n">
        <f aca="false">B40*C40</f>
        <v>51</v>
      </c>
      <c r="E40" s="20" t="n">
        <v>36</v>
      </c>
      <c r="F40" s="20" t="n">
        <v>51.5</v>
      </c>
      <c r="G40" s="20" t="n">
        <v>24.8</v>
      </c>
      <c r="H40" s="5" t="s">
        <v>351</v>
      </c>
    </row>
    <row r="41" customFormat="false" ht="15" hidden="false" customHeight="false" outlineLevel="0" collapsed="false">
      <c r="A41" s="6" t="s">
        <v>352</v>
      </c>
      <c r="B41" s="4" t="n">
        <v>1</v>
      </c>
      <c r="C41" s="20" t="n">
        <v>77.8</v>
      </c>
      <c r="D41" s="20" t="n">
        <f aca="false">B41*C41</f>
        <v>77.8</v>
      </c>
      <c r="E41" s="20" t="n">
        <v>39.5</v>
      </c>
      <c r="F41" s="20" t="n">
        <v>56</v>
      </c>
      <c r="G41" s="20" t="n">
        <v>202.1</v>
      </c>
      <c r="H41" s="5" t="s">
        <v>353</v>
      </c>
    </row>
    <row r="42" customFormat="false" ht="15" hidden="false" customHeight="false" outlineLevel="0" collapsed="false">
      <c r="A42" s="6" t="s">
        <v>354</v>
      </c>
      <c r="B42" s="4" t="n">
        <v>1</v>
      </c>
      <c r="C42" s="20" t="n">
        <v>77.8</v>
      </c>
      <c r="D42" s="20" t="n">
        <f aca="false">B42*C42</f>
        <v>77.8</v>
      </c>
      <c r="E42" s="20" t="n">
        <v>39.5</v>
      </c>
      <c r="F42" s="20" t="n">
        <v>56</v>
      </c>
      <c r="G42" s="20" t="n">
        <v>202.1</v>
      </c>
      <c r="H42" s="5" t="s">
        <v>353</v>
      </c>
    </row>
    <row r="43" customFormat="false" ht="15" hidden="false" customHeight="false" outlineLevel="0" collapsed="false">
      <c r="A43" s="6" t="s">
        <v>355</v>
      </c>
      <c r="B43" s="4" t="n">
        <v>1</v>
      </c>
      <c r="C43" s="20" t="n">
        <v>25.3</v>
      </c>
      <c r="D43" s="20" t="n">
        <f aca="false">B43*C43</f>
        <v>25.3</v>
      </c>
      <c r="E43" s="20" t="n">
        <v>37</v>
      </c>
      <c r="F43" s="20" t="n">
        <v>52.5</v>
      </c>
      <c r="G43" s="20" t="n">
        <v>80.5</v>
      </c>
      <c r="H43" s="5" t="s">
        <v>356</v>
      </c>
    </row>
    <row r="44" customFormat="false" ht="15" hidden="false" customHeight="false" outlineLevel="0" collapsed="false">
      <c r="A44" s="6" t="s">
        <v>357</v>
      </c>
      <c r="B44" s="4" t="n">
        <v>1</v>
      </c>
      <c r="C44" s="20" t="n">
        <v>80.2</v>
      </c>
      <c r="D44" s="20" t="n">
        <f aca="false">B44*C44</f>
        <v>80.2</v>
      </c>
      <c r="E44" s="20" t="n">
        <v>190</v>
      </c>
      <c r="F44" s="20" t="n">
        <v>34.5</v>
      </c>
      <c r="G44" s="20" t="n">
        <v>22</v>
      </c>
      <c r="H44" s="5" t="s">
        <v>358</v>
      </c>
    </row>
    <row r="45" customFormat="false" ht="15" hidden="false" customHeight="false" outlineLevel="0" collapsed="false">
      <c r="A45" s="6" t="s">
        <v>359</v>
      </c>
      <c r="B45" s="4" t="n">
        <v>1</v>
      </c>
      <c r="C45" s="20" t="n">
        <v>60.1</v>
      </c>
      <c r="D45" s="20" t="n">
        <f aca="false">B45*C45</f>
        <v>60.1</v>
      </c>
      <c r="E45" s="20" t="n">
        <v>178</v>
      </c>
      <c r="F45" s="20" t="n">
        <v>100</v>
      </c>
      <c r="G45" s="20" t="n">
        <v>9.1</v>
      </c>
      <c r="H45" s="5"/>
    </row>
    <row r="46" customFormat="false" ht="15" hidden="false" customHeight="false" outlineLevel="0" collapsed="false">
      <c r="A46" s="6" t="s">
        <v>360</v>
      </c>
      <c r="B46" s="4" t="n">
        <v>1</v>
      </c>
      <c r="C46" s="20" t="n">
        <v>29</v>
      </c>
      <c r="D46" s="20" t="n">
        <f aca="false">B46*C46</f>
        <v>29</v>
      </c>
      <c r="E46" s="20" t="n">
        <v>110</v>
      </c>
      <c r="F46" s="20" t="n">
        <v>72</v>
      </c>
      <c r="G46" s="20" t="n">
        <v>4</v>
      </c>
      <c r="H46" s="5"/>
    </row>
    <row r="47" customFormat="false" ht="15" hidden="false" customHeight="false" outlineLevel="0" collapsed="false">
      <c r="A47" s="6" t="s">
        <v>361</v>
      </c>
      <c r="B47" s="4" t="n">
        <v>2</v>
      </c>
      <c r="C47" s="20" t="n">
        <v>14.8</v>
      </c>
      <c r="D47" s="20" t="n">
        <f aca="false">B47*C47</f>
        <v>29.6</v>
      </c>
      <c r="E47" s="20" t="n">
        <v>58</v>
      </c>
      <c r="F47" s="20" t="n">
        <v>64</v>
      </c>
      <c r="G47" s="20" t="n">
        <v>29.5</v>
      </c>
      <c r="H47" s="5" t="s">
        <v>362</v>
      </c>
    </row>
    <row r="48" customFormat="false" ht="15" hidden="false" customHeight="false" outlineLevel="0" collapsed="false">
      <c r="A48" s="6" t="s">
        <v>363</v>
      </c>
      <c r="B48" s="4" t="n">
        <v>1</v>
      </c>
      <c r="C48" s="20" t="n">
        <v>6.2</v>
      </c>
      <c r="D48" s="20" t="n">
        <f aca="false">B48*C48</f>
        <v>6.2</v>
      </c>
      <c r="E48" s="20" t="n">
        <v>19</v>
      </c>
      <c r="F48" s="20" t="n">
        <v>39.8</v>
      </c>
      <c r="G48" s="20" t="n">
        <v>44.4</v>
      </c>
      <c r="H48" s="5" t="s">
        <v>364</v>
      </c>
    </row>
    <row r="49" customFormat="false" ht="15" hidden="false" customHeight="false" outlineLevel="0" collapsed="false">
      <c r="A49" s="6" t="s">
        <v>365</v>
      </c>
      <c r="B49" s="4" t="n">
        <v>1</v>
      </c>
      <c r="C49" s="20" t="n">
        <v>23.3</v>
      </c>
      <c r="D49" s="20" t="n">
        <f aca="false">B49*C49</f>
        <v>23.3</v>
      </c>
      <c r="E49" s="20" t="n">
        <v>30</v>
      </c>
      <c r="F49" s="20" t="n">
        <v>30</v>
      </c>
      <c r="G49" s="20" t="n">
        <v>71</v>
      </c>
      <c r="H49" s="5" t="s">
        <v>366</v>
      </c>
    </row>
    <row r="50" customFormat="false" ht="15" hidden="false" customHeight="false" outlineLevel="0" collapsed="false">
      <c r="A50" s="6" t="s">
        <v>367</v>
      </c>
      <c r="B50" s="4" t="n">
        <v>3</v>
      </c>
      <c r="C50" s="20" t="n">
        <v>1.8</v>
      </c>
      <c r="D50" s="20" t="n">
        <f aca="false">B50*C50</f>
        <v>5.4</v>
      </c>
      <c r="E50" s="20" t="n">
        <v>26</v>
      </c>
      <c r="F50" s="20" t="n">
        <v>26</v>
      </c>
      <c r="G50" s="20" t="n">
        <v>13.3</v>
      </c>
      <c r="H50" s="5" t="s">
        <v>368</v>
      </c>
    </row>
    <row r="51" customFormat="false" ht="15" hidden="false" customHeight="false" outlineLevel="0" collapsed="false">
      <c r="A51" s="6" t="s">
        <v>369</v>
      </c>
      <c r="B51" s="4" t="n">
        <v>3</v>
      </c>
      <c r="C51" s="20" t="n">
        <v>5.3</v>
      </c>
      <c r="D51" s="20" t="n">
        <f aca="false">B51*C51</f>
        <v>15.9</v>
      </c>
      <c r="E51" s="20" t="n">
        <v>26.9</v>
      </c>
      <c r="F51" s="20" t="n">
        <v>24</v>
      </c>
      <c r="G51" s="20" t="n">
        <v>32</v>
      </c>
      <c r="H51" s="5" t="s">
        <v>370</v>
      </c>
    </row>
    <row r="52" customFormat="false" ht="15" hidden="false" customHeight="false" outlineLevel="0" collapsed="false">
      <c r="A52" s="6" t="s">
        <v>371</v>
      </c>
      <c r="B52" s="4" t="n">
        <v>3</v>
      </c>
      <c r="C52" s="20" t="n">
        <v>0.4</v>
      </c>
      <c r="D52" s="20" t="n">
        <f aca="false">B52*C52</f>
        <v>1.2</v>
      </c>
      <c r="E52" s="20" t="n">
        <v>8.9</v>
      </c>
      <c r="F52" s="20" t="n">
        <v>9.9</v>
      </c>
      <c r="G52" s="20" t="n">
        <v>13.2</v>
      </c>
      <c r="H52" s="5" t="s">
        <v>372</v>
      </c>
    </row>
    <row r="53" customFormat="false" ht="15" hidden="false" customHeight="false" outlineLevel="0" collapsed="false">
      <c r="A53" s="6" t="s">
        <v>373</v>
      </c>
      <c r="B53" s="4" t="n">
        <v>3</v>
      </c>
      <c r="C53" s="20" t="n">
        <v>81.4</v>
      </c>
      <c r="D53" s="20" t="n">
        <f aca="false">B53*C53</f>
        <v>244.2</v>
      </c>
      <c r="E53" s="20" t="n">
        <v>40</v>
      </c>
      <c r="F53" s="20" t="n">
        <v>62</v>
      </c>
      <c r="G53" s="20" t="n">
        <v>77</v>
      </c>
      <c r="H53" s="5" t="s">
        <v>374</v>
      </c>
    </row>
    <row r="54" customFormat="false" ht="15" hidden="false" customHeight="false" outlineLevel="0" collapsed="false">
      <c r="A54" s="6" t="s">
        <v>375</v>
      </c>
      <c r="B54" s="4" t="n">
        <v>3</v>
      </c>
      <c r="C54" s="20" t="n">
        <v>17.3</v>
      </c>
      <c r="D54" s="20" t="n">
        <f aca="false">B54*C54</f>
        <v>51.9</v>
      </c>
      <c r="E54" s="20" t="n">
        <v>26</v>
      </c>
      <c r="F54" s="20" t="n">
        <v>24</v>
      </c>
      <c r="G54" s="20" t="n">
        <v>52</v>
      </c>
      <c r="H54" s="5" t="s">
        <v>376</v>
      </c>
    </row>
    <row r="55" customFormat="false" ht="15" hidden="false" customHeight="false" outlineLevel="0" collapsed="false">
      <c r="A55" s="6" t="s">
        <v>377</v>
      </c>
      <c r="B55" s="4" t="n">
        <v>1</v>
      </c>
      <c r="C55" s="20" t="n">
        <v>6.8</v>
      </c>
      <c r="D55" s="20" t="n">
        <f aca="false">B55*C55</f>
        <v>6.8</v>
      </c>
      <c r="E55" s="20" t="n">
        <v>44</v>
      </c>
      <c r="F55" s="20" t="n">
        <v>44</v>
      </c>
      <c r="G55" s="20" t="n">
        <v>4</v>
      </c>
      <c r="H55" s="5"/>
    </row>
    <row r="56" customFormat="false" ht="15" hidden="false" customHeight="false" outlineLevel="0" collapsed="false">
      <c r="A56" s="6" t="s">
        <v>378</v>
      </c>
      <c r="B56" s="4" t="n">
        <v>1</v>
      </c>
      <c r="C56" s="20" t="n">
        <v>4.8</v>
      </c>
      <c r="D56" s="20" t="n">
        <f aca="false">B56*C56</f>
        <v>4.8</v>
      </c>
      <c r="E56" s="20" t="n">
        <v>22</v>
      </c>
      <c r="F56" s="20" t="n">
        <v>59</v>
      </c>
      <c r="G56" s="20" t="n">
        <v>16</v>
      </c>
      <c r="H56" s="5" t="s">
        <v>379</v>
      </c>
    </row>
    <row r="57" customFormat="false" ht="15" hidden="false" customHeight="false" outlineLevel="0" collapsed="false">
      <c r="A57" s="6" t="s">
        <v>380</v>
      </c>
      <c r="B57" s="4" t="n">
        <v>2</v>
      </c>
      <c r="C57" s="20" t="n">
        <v>7.3</v>
      </c>
      <c r="D57" s="20" t="n">
        <f aca="false">B57*C57</f>
        <v>14.6</v>
      </c>
      <c r="E57" s="20" t="n">
        <v>40</v>
      </c>
      <c r="F57" s="20" t="n">
        <v>47</v>
      </c>
      <c r="G57" s="20" t="n">
        <v>4</v>
      </c>
      <c r="H57" s="5" t="s">
        <v>381</v>
      </c>
    </row>
    <row r="58" customFormat="false" ht="15" hidden="false" customHeight="false" outlineLevel="0" collapsed="false">
      <c r="A58" s="6" t="s">
        <v>382</v>
      </c>
      <c r="B58" s="4" t="n">
        <v>1</v>
      </c>
      <c r="C58" s="20" t="n">
        <v>187</v>
      </c>
      <c r="D58" s="20" t="n">
        <f aca="false">B58*C58</f>
        <v>187</v>
      </c>
      <c r="E58" s="20" t="n">
        <v>202</v>
      </c>
      <c r="F58" s="20" t="n">
        <v>189</v>
      </c>
      <c r="G58" s="20" t="n">
        <v>23.5</v>
      </c>
      <c r="H58" s="5" t="s">
        <v>320</v>
      </c>
    </row>
    <row r="59" customFormat="false" ht="15" hidden="false" customHeight="false" outlineLevel="0" collapsed="false">
      <c r="A59" s="6" t="s">
        <v>383</v>
      </c>
      <c r="B59" s="4" t="n">
        <v>1</v>
      </c>
      <c r="C59" s="20" t="n">
        <v>115.9</v>
      </c>
      <c r="D59" s="20" t="n">
        <f aca="false">B59*C59</f>
        <v>115.9</v>
      </c>
      <c r="E59" s="20" t="n">
        <v>135</v>
      </c>
      <c r="F59" s="20" t="n">
        <v>185</v>
      </c>
      <c r="G59" s="20" t="n">
        <v>18</v>
      </c>
      <c r="H59" s="5"/>
    </row>
    <row r="60" customFormat="false" ht="15" hidden="false" customHeight="false" outlineLevel="0" collapsed="false">
      <c r="A60" s="6" t="s">
        <v>384</v>
      </c>
      <c r="B60" s="4" t="n">
        <v>1</v>
      </c>
      <c r="C60" s="20" t="n">
        <v>119.6</v>
      </c>
      <c r="D60" s="20" t="n">
        <f aca="false">B60*C60</f>
        <v>119.6</v>
      </c>
      <c r="E60" s="20" t="n">
        <v>135</v>
      </c>
      <c r="F60" s="20" t="n">
        <v>185</v>
      </c>
      <c r="G60" s="20" t="n">
        <v>18</v>
      </c>
      <c r="H60" s="5"/>
    </row>
    <row r="61" customFormat="false" ht="15" hidden="false" customHeight="false" outlineLevel="0" collapsed="false">
      <c r="A61" s="6" t="s">
        <v>385</v>
      </c>
      <c r="B61" s="4" t="n">
        <v>1</v>
      </c>
      <c r="C61" s="20" t="n">
        <v>52.1</v>
      </c>
      <c r="D61" s="20" t="n">
        <f aca="false">B61*C61</f>
        <v>52.1</v>
      </c>
      <c r="E61" s="20" t="n">
        <v>200</v>
      </c>
      <c r="F61" s="20" t="n">
        <v>75</v>
      </c>
      <c r="G61" s="20" t="n">
        <v>4</v>
      </c>
      <c r="H61" s="5"/>
    </row>
    <row r="62" customFormat="false" ht="15" hidden="false" customHeight="false" outlineLevel="0" collapsed="false">
      <c r="A62" s="6" t="s">
        <v>386</v>
      </c>
      <c r="B62" s="4" t="n">
        <v>1</v>
      </c>
      <c r="C62" s="20" t="n">
        <v>68</v>
      </c>
      <c r="D62" s="20" t="n">
        <f aca="false">B62*C62</f>
        <v>68</v>
      </c>
      <c r="E62" s="20" t="n">
        <v>42.3</v>
      </c>
      <c r="F62" s="20" t="n">
        <v>148</v>
      </c>
      <c r="G62" s="20" t="n">
        <v>89.5</v>
      </c>
      <c r="H62" s="5" t="s">
        <v>320</v>
      </c>
    </row>
    <row r="63" customFormat="false" ht="15" hidden="false" customHeight="false" outlineLevel="0" collapsed="false">
      <c r="A63" s="6" t="s">
        <v>387</v>
      </c>
      <c r="B63" s="4" t="n">
        <v>4</v>
      </c>
      <c r="C63" s="20" t="n">
        <v>15.3</v>
      </c>
      <c r="D63" s="20" t="n">
        <f aca="false">B63*C63</f>
        <v>61.2</v>
      </c>
      <c r="E63" s="20" t="n">
        <v>15.3</v>
      </c>
      <c r="F63" s="20" t="n">
        <v>15.3</v>
      </c>
      <c r="G63" s="20" t="n">
        <v>144.2</v>
      </c>
      <c r="H63" s="5" t="s">
        <v>388</v>
      </c>
    </row>
    <row r="64" customFormat="false" ht="15" hidden="false" customHeight="false" outlineLevel="0" collapsed="false">
      <c r="A64" s="6" t="s">
        <v>389</v>
      </c>
      <c r="B64" s="4" t="n">
        <v>4</v>
      </c>
      <c r="C64" s="20" t="n">
        <v>14.2</v>
      </c>
      <c r="D64" s="20" t="n">
        <f aca="false">B64*C64</f>
        <v>56.8</v>
      </c>
      <c r="E64" s="20" t="n">
        <v>15.3</v>
      </c>
      <c r="F64" s="20" t="n">
        <v>15.3</v>
      </c>
      <c r="G64" s="20" t="n">
        <v>124.5</v>
      </c>
      <c r="H64" s="5" t="s">
        <v>390</v>
      </c>
    </row>
    <row r="65" customFormat="false" ht="15" hidden="false" customHeight="false" outlineLevel="0" collapsed="false">
      <c r="A65" s="6" t="s">
        <v>391</v>
      </c>
      <c r="B65" s="4" t="n">
        <v>4</v>
      </c>
      <c r="C65" s="20" t="n">
        <v>5.9</v>
      </c>
      <c r="D65" s="20" t="n">
        <f aca="false">B65*C65</f>
        <v>23.6</v>
      </c>
      <c r="E65" s="20" t="n">
        <v>12</v>
      </c>
      <c r="F65" s="20" t="n">
        <v>18</v>
      </c>
      <c r="G65" s="20" t="n">
        <v>39</v>
      </c>
      <c r="H65" s="5"/>
    </row>
    <row r="66" customFormat="false" ht="15" hidden="false" customHeight="false" outlineLevel="0" collapsed="false">
      <c r="A66" s="6" t="s">
        <v>392</v>
      </c>
      <c r="B66" s="4" t="n">
        <v>1</v>
      </c>
      <c r="C66" s="20" t="n">
        <v>84</v>
      </c>
      <c r="D66" s="20" t="n">
        <f aca="false">B66*C66</f>
        <v>84</v>
      </c>
      <c r="E66" s="20" t="n">
        <v>168</v>
      </c>
      <c r="F66" s="20" t="n">
        <v>99.1</v>
      </c>
      <c r="G66" s="20" t="n">
        <v>57.9</v>
      </c>
      <c r="H66" s="5" t="s">
        <v>393</v>
      </c>
    </row>
    <row r="67" customFormat="false" ht="15" hidden="false" customHeight="false" outlineLevel="0" collapsed="false">
      <c r="A67" s="6" t="s">
        <v>394</v>
      </c>
      <c r="B67" s="4" t="n">
        <v>4</v>
      </c>
      <c r="C67" s="20" t="n">
        <v>0.4</v>
      </c>
      <c r="D67" s="20" t="n">
        <f aca="false">B67*C67</f>
        <v>1.6</v>
      </c>
      <c r="E67" s="20" t="n">
        <v>17</v>
      </c>
      <c r="F67" s="20" t="n">
        <v>8</v>
      </c>
      <c r="G67" s="20" t="n">
        <v>3</v>
      </c>
      <c r="H67" s="5" t="s">
        <v>395</v>
      </c>
    </row>
    <row r="68" customFormat="false" ht="15" hidden="false" customHeight="false" outlineLevel="0" collapsed="false">
      <c r="A68" s="6" t="s">
        <v>396</v>
      </c>
      <c r="B68" s="4" t="n">
        <v>1</v>
      </c>
      <c r="C68" s="20" t="n">
        <v>7.6</v>
      </c>
      <c r="D68" s="20" t="n">
        <f aca="false">B68*C68</f>
        <v>7.6</v>
      </c>
      <c r="E68" s="20" t="n">
        <v>187.8</v>
      </c>
      <c r="F68" s="20" t="n">
        <v>15.3</v>
      </c>
      <c r="G68" s="20" t="n">
        <v>10</v>
      </c>
      <c r="H68" s="5"/>
    </row>
    <row r="69" customFormat="false" ht="15" hidden="false" customHeight="false" outlineLevel="0" collapsed="false">
      <c r="A69" s="6" t="s">
        <v>397</v>
      </c>
      <c r="B69" s="4" t="n">
        <v>1</v>
      </c>
      <c r="C69" s="20" t="n">
        <v>4.6</v>
      </c>
      <c r="D69" s="20" t="n">
        <f aca="false">B69*C69</f>
        <v>4.6</v>
      </c>
      <c r="E69" s="20" t="n">
        <v>15.3</v>
      </c>
      <c r="F69" s="20" t="n">
        <v>116.8</v>
      </c>
      <c r="G69" s="20" t="n">
        <v>10</v>
      </c>
      <c r="H69" s="5"/>
    </row>
    <row r="70" customFormat="false" ht="15" hidden="false" customHeight="false" outlineLevel="0" collapsed="false">
      <c r="A70" s="6" t="s">
        <v>398</v>
      </c>
      <c r="B70" s="4" t="n">
        <v>3</v>
      </c>
      <c r="C70" s="20" t="n">
        <v>35.5</v>
      </c>
      <c r="D70" s="20" t="n">
        <f aca="false">B70*C70</f>
        <v>106.5</v>
      </c>
      <c r="E70" s="20" t="n">
        <v>170</v>
      </c>
      <c r="F70" s="20" t="n">
        <v>76</v>
      </c>
      <c r="G70" s="20" t="n">
        <v>3</v>
      </c>
      <c r="H70" s="5"/>
    </row>
    <row r="71" customFormat="false" ht="15" hidden="false" customHeight="false" outlineLevel="0" collapsed="false">
      <c r="A71" s="6" t="s">
        <v>399</v>
      </c>
      <c r="B71" s="4" t="n">
        <v>4</v>
      </c>
      <c r="C71" s="20" t="n">
        <v>0.9</v>
      </c>
      <c r="D71" s="20" t="n">
        <f aca="false">B71*C71</f>
        <v>3.6</v>
      </c>
      <c r="E71" s="20" t="n">
        <v>12</v>
      </c>
      <c r="F71" s="20" t="n">
        <v>12</v>
      </c>
      <c r="G71" s="20" t="n">
        <v>8</v>
      </c>
      <c r="H71" s="5"/>
    </row>
    <row r="72" customFormat="false" ht="15" hidden="false" customHeight="false" outlineLevel="0" collapsed="false">
      <c r="A72" s="6" t="s">
        <v>400</v>
      </c>
      <c r="B72" s="4" t="n">
        <v>8</v>
      </c>
      <c r="C72" s="20" t="n">
        <v>3</v>
      </c>
      <c r="D72" s="20" t="n">
        <f aca="false">B72*C72</f>
        <v>24</v>
      </c>
      <c r="E72" s="20" t="n">
        <v>9</v>
      </c>
      <c r="F72" s="20" t="n">
        <v>9</v>
      </c>
      <c r="G72" s="20" t="n">
        <v>55</v>
      </c>
      <c r="H72" s="5"/>
    </row>
    <row r="73" customFormat="false" ht="15" hidden="false" customHeight="false" outlineLevel="0" collapsed="false">
      <c r="A73" s="6" t="s">
        <v>401</v>
      </c>
      <c r="B73" s="4" t="n">
        <v>10</v>
      </c>
      <c r="C73" s="20" t="n">
        <v>1.3</v>
      </c>
      <c r="D73" s="20" t="n">
        <f aca="false">B73*C73</f>
        <v>13</v>
      </c>
      <c r="E73" s="20" t="n">
        <v>15.5</v>
      </c>
      <c r="F73" s="20" t="n">
        <v>8.7</v>
      </c>
      <c r="G73" s="20" t="n">
        <v>12</v>
      </c>
      <c r="H73" s="5"/>
    </row>
    <row r="74" customFormat="false" ht="15" hidden="false" customHeight="false" outlineLevel="0" collapsed="false">
      <c r="A74" s="6" t="s">
        <v>402</v>
      </c>
      <c r="B74" s="4" t="n">
        <v>1</v>
      </c>
      <c r="C74" s="20" t="n">
        <v>30.7</v>
      </c>
      <c r="D74" s="20" t="n">
        <f aca="false">B74*C74</f>
        <v>30.7</v>
      </c>
      <c r="E74" s="20" t="n">
        <v>145</v>
      </c>
      <c r="F74" s="20" t="n">
        <v>35</v>
      </c>
      <c r="G74" s="20" t="n">
        <v>24</v>
      </c>
      <c r="H74" s="5"/>
    </row>
    <row r="75" customFormat="false" ht="15" hidden="false" customHeight="false" outlineLevel="0" collapsed="false">
      <c r="A75" s="6" t="s">
        <v>403</v>
      </c>
      <c r="B75" s="4" t="n">
        <v>1</v>
      </c>
      <c r="C75" s="20" t="n">
        <v>24.8</v>
      </c>
      <c r="D75" s="20" t="n">
        <f aca="false">B75*C75</f>
        <v>24.8</v>
      </c>
      <c r="E75" s="20" t="n">
        <v>145</v>
      </c>
      <c r="F75" s="20" t="n">
        <v>36.7</v>
      </c>
      <c r="G75" s="20" t="n">
        <v>23</v>
      </c>
      <c r="H75" s="5" t="s">
        <v>379</v>
      </c>
    </row>
    <row r="76" customFormat="false" ht="15" hidden="false" customHeight="false" outlineLevel="0" collapsed="false">
      <c r="A76" s="6" t="s">
        <v>404</v>
      </c>
      <c r="B76" s="4" t="n">
        <v>1</v>
      </c>
      <c r="C76" s="20" t="n">
        <v>5.7</v>
      </c>
      <c r="D76" s="20" t="n">
        <f aca="false">B76*C76</f>
        <v>5.7</v>
      </c>
      <c r="E76" s="20" t="n">
        <v>48</v>
      </c>
      <c r="F76" s="20" t="n">
        <v>48</v>
      </c>
      <c r="G76" s="20" t="n">
        <v>8</v>
      </c>
      <c r="H76" s="5"/>
    </row>
    <row r="77" customFormat="false" ht="15" hidden="false" customHeight="false" outlineLevel="0" collapsed="false">
      <c r="A77" s="11" t="s">
        <v>405</v>
      </c>
      <c r="B77" s="21" t="n">
        <f aca="false">SUM(B6:B76)</f>
        <v>123</v>
      </c>
      <c r="C77" s="10"/>
      <c r="D77" s="22" t="n">
        <f aca="false">SUM(D6:D76)</f>
        <v>2713.1</v>
      </c>
      <c r="E77" s="10"/>
      <c r="F77" s="10"/>
      <c r="G77" s="10"/>
      <c r="H77" s="10"/>
    </row>
    <row r="78" customFormat="false" ht="15" hidden="false" customHeight="false" outlineLevel="0" collapsed="false">
      <c r="A78" s="6" t="s">
        <v>406</v>
      </c>
      <c r="D78" s="23" t="n">
        <f aca="false">D77*B3*D3/1000</f>
        <v>1.7228185</v>
      </c>
    </row>
    <row r="79" customFormat="false" ht="15" hidden="false" customHeight="false" outlineLevel="0" collapsed="false">
      <c r="A79" s="5" t="s">
        <v>407</v>
      </c>
      <c r="E79" s="20" t="n">
        <f aca="false">MAX(E6:E76)</f>
        <v>202</v>
      </c>
      <c r="F79" s="20" t="n">
        <f aca="false">MAX(F6:F76)</f>
        <v>189</v>
      </c>
      <c r="G79" s="20" t="n">
        <f aca="false">MAX(G6:G76)</f>
        <v>202.1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5" min="5" style="0" width="38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15" t="s">
        <v>409</v>
      </c>
    </row>
    <row r="4" customFormat="false" ht="30" hidden="false" customHeight="true" outlineLevel="0" collapsed="false">
      <c r="A4" s="3" t="s">
        <v>410</v>
      </c>
      <c r="B4" s="3" t="s">
        <v>6</v>
      </c>
      <c r="C4" s="3" t="s">
        <v>411</v>
      </c>
      <c r="E4" s="24" t="s">
        <v>410</v>
      </c>
      <c r="F4" s="24" t="s">
        <v>412</v>
      </c>
    </row>
    <row r="5" customFormat="false" ht="15" hidden="false" customHeight="false" outlineLevel="0" collapsed="false">
      <c r="A5" s="6" t="s">
        <v>413</v>
      </c>
      <c r="B5" s="4" t="n">
        <v>4</v>
      </c>
      <c r="C5" s="5" t="s">
        <v>414</v>
      </c>
      <c r="E5" s="5" t="s">
        <v>413</v>
      </c>
      <c r="F5" s="4" t="n">
        <f aca="false">SUMIF($A$5:$A$45,E5,$B$5:$B$45)</f>
        <v>24</v>
      </c>
    </row>
    <row r="6" customFormat="false" ht="15" hidden="false" customHeight="false" outlineLevel="0" collapsed="false">
      <c r="A6" s="6" t="s">
        <v>415</v>
      </c>
      <c r="B6" s="4" t="n">
        <v>4</v>
      </c>
      <c r="C6" s="5" t="s">
        <v>416</v>
      </c>
      <c r="E6" s="5" t="s">
        <v>415</v>
      </c>
      <c r="F6" s="4" t="n">
        <f aca="false">SUMIF($A$5:$A$45,E6,$B$5:$B$45)</f>
        <v>8</v>
      </c>
    </row>
    <row r="7" customFormat="false" ht="15" hidden="false" customHeight="false" outlineLevel="0" collapsed="false">
      <c r="A7" s="6" t="s">
        <v>413</v>
      </c>
      <c r="B7" s="4" t="n">
        <v>4</v>
      </c>
      <c r="C7" s="5" t="s">
        <v>417</v>
      </c>
      <c r="E7" s="5" t="s">
        <v>418</v>
      </c>
      <c r="F7" s="4" t="n">
        <f aca="false">SUMIF($A$5:$A$45,E7,$B$5:$B$45)</f>
        <v>4</v>
      </c>
    </row>
    <row r="8" customFormat="false" ht="15" hidden="false" customHeight="false" outlineLevel="0" collapsed="false">
      <c r="A8" s="6" t="s">
        <v>418</v>
      </c>
      <c r="B8" s="4" t="n">
        <v>4</v>
      </c>
      <c r="C8" s="5" t="s">
        <v>419</v>
      </c>
      <c r="E8" s="5" t="s">
        <v>420</v>
      </c>
      <c r="F8" s="4" t="n">
        <f aca="false">SUMIF($A$5:$A$45,E8,$B$5:$B$45)</f>
        <v>2</v>
      </c>
    </row>
    <row r="9" customFormat="false" ht="15" hidden="false" customHeight="false" outlineLevel="0" collapsed="false">
      <c r="A9" s="6" t="s">
        <v>420</v>
      </c>
      <c r="B9" s="4" t="n">
        <v>2</v>
      </c>
      <c r="C9" s="5" t="s">
        <v>421</v>
      </c>
      <c r="E9" s="5" t="s">
        <v>422</v>
      </c>
      <c r="F9" s="4" t="n">
        <f aca="false">SUMIF($A$5:$A$45,E9,$B$5:$B$45)</f>
        <v>1</v>
      </c>
    </row>
    <row r="10" customFormat="false" ht="15" hidden="false" customHeight="false" outlineLevel="0" collapsed="false">
      <c r="A10" s="6" t="s">
        <v>422</v>
      </c>
      <c r="B10" s="4" t="n">
        <v>1</v>
      </c>
      <c r="C10" s="5" t="s">
        <v>423</v>
      </c>
      <c r="E10" s="5" t="s">
        <v>424</v>
      </c>
      <c r="F10" s="4" t="n">
        <f aca="false">SUMIF($A$5:$A$45,E10,$B$5:$B$45)</f>
        <v>2</v>
      </c>
    </row>
    <row r="11" customFormat="false" ht="15" hidden="false" customHeight="false" outlineLevel="0" collapsed="false">
      <c r="A11" s="6" t="s">
        <v>424</v>
      </c>
      <c r="B11" s="4" t="n">
        <v>1</v>
      </c>
      <c r="C11" s="5" t="s">
        <v>425</v>
      </c>
      <c r="E11" s="5" t="s">
        <v>426</v>
      </c>
      <c r="F11" s="4" t="n">
        <f aca="false">SUMIF($A$5:$A$45,E11,$B$5:$B$45)</f>
        <v>16</v>
      </c>
    </row>
    <row r="12" customFormat="false" ht="15" hidden="false" customHeight="false" outlineLevel="0" collapsed="false">
      <c r="A12" s="6" t="s">
        <v>426</v>
      </c>
      <c r="B12" s="4" t="n">
        <v>2</v>
      </c>
      <c r="C12" s="5" t="s">
        <v>427</v>
      </c>
      <c r="E12" s="5" t="s">
        <v>428</v>
      </c>
      <c r="F12" s="4" t="n">
        <f aca="false">SUMIF($A$5:$A$45,E12,$B$5:$B$45)</f>
        <v>2</v>
      </c>
    </row>
    <row r="13" customFormat="false" ht="15" hidden="false" customHeight="false" outlineLevel="0" collapsed="false">
      <c r="A13" s="6" t="s">
        <v>426</v>
      </c>
      <c r="B13" s="4" t="n">
        <v>2</v>
      </c>
      <c r="C13" s="5" t="s">
        <v>429</v>
      </c>
      <c r="E13" s="5" t="s">
        <v>430</v>
      </c>
      <c r="F13" s="4" t="n">
        <f aca="false">SUMIF($A$5:$A$45,E13,$B$5:$B$45)</f>
        <v>3</v>
      </c>
    </row>
    <row r="14" customFormat="false" ht="15" hidden="false" customHeight="false" outlineLevel="0" collapsed="false">
      <c r="A14" s="6" t="s">
        <v>413</v>
      </c>
      <c r="B14" s="4" t="n">
        <v>1</v>
      </c>
      <c r="C14" s="5" t="s">
        <v>431</v>
      </c>
      <c r="E14" s="5" t="s">
        <v>432</v>
      </c>
      <c r="F14" s="4" t="n">
        <f aca="false">SUMIF($A$5:$A$45,E14,$B$5:$B$45)</f>
        <v>1</v>
      </c>
    </row>
    <row r="15" customFormat="false" ht="15" hidden="false" customHeight="false" outlineLevel="0" collapsed="false">
      <c r="A15" s="6" t="s">
        <v>413</v>
      </c>
      <c r="B15" s="4" t="n">
        <v>3</v>
      </c>
      <c r="C15" s="5" t="s">
        <v>433</v>
      </c>
      <c r="E15" s="5" t="s">
        <v>434</v>
      </c>
      <c r="F15" s="4" t="n">
        <f aca="false">SUMIF($A$5:$A$45,E15,$B$5:$B$45)</f>
        <v>2</v>
      </c>
    </row>
    <row r="16" customFormat="false" ht="23.85" hidden="false" customHeight="false" outlineLevel="0" collapsed="false">
      <c r="A16" s="6" t="s">
        <v>428</v>
      </c>
      <c r="B16" s="4" t="n">
        <v>2</v>
      </c>
      <c r="C16" s="5" t="s">
        <v>435</v>
      </c>
      <c r="E16" s="5" t="s">
        <v>436</v>
      </c>
      <c r="F16" s="4" t="n">
        <f aca="false">SUMIF($A$5:$A$45,E16,$B$5:$B$45)</f>
        <v>6</v>
      </c>
    </row>
    <row r="17" customFormat="false" ht="15" hidden="false" customHeight="false" outlineLevel="0" collapsed="false">
      <c r="A17" s="6" t="s">
        <v>430</v>
      </c>
      <c r="B17" s="4" t="n">
        <v>3</v>
      </c>
      <c r="C17" s="5" t="s">
        <v>437</v>
      </c>
      <c r="E17" s="5" t="s">
        <v>438</v>
      </c>
      <c r="F17" s="4" t="n">
        <f aca="false">SUMIF($A$5:$A$45,E17,$B$5:$B$45)</f>
        <v>8</v>
      </c>
    </row>
    <row r="18" customFormat="false" ht="15" hidden="false" customHeight="false" outlineLevel="0" collapsed="false">
      <c r="A18" s="6" t="s">
        <v>424</v>
      </c>
      <c r="B18" s="4" t="n">
        <v>1</v>
      </c>
      <c r="C18" s="5" t="s">
        <v>439</v>
      </c>
      <c r="E18" s="5" t="s">
        <v>440</v>
      </c>
      <c r="F18" s="4" t="n">
        <f aca="false">SUMIF($A$5:$A$45,E18,$B$5:$B$45)</f>
        <v>4</v>
      </c>
    </row>
    <row r="19" customFormat="false" ht="15" hidden="false" customHeight="false" outlineLevel="0" collapsed="false">
      <c r="A19" s="6" t="s">
        <v>432</v>
      </c>
      <c r="B19" s="4" t="n">
        <v>1</v>
      </c>
      <c r="C19" s="5" t="s">
        <v>441</v>
      </c>
      <c r="E19" s="5" t="s">
        <v>442</v>
      </c>
      <c r="F19" s="4" t="n">
        <f aca="false">SUMIF($A$5:$A$45,E19,$B$5:$B$45)</f>
        <v>33</v>
      </c>
    </row>
    <row r="20" customFormat="false" ht="23.85" hidden="false" customHeight="false" outlineLevel="0" collapsed="false">
      <c r="A20" s="6" t="s">
        <v>434</v>
      </c>
      <c r="B20" s="4" t="n">
        <v>2</v>
      </c>
      <c r="C20" s="5" t="s">
        <v>443</v>
      </c>
      <c r="E20" s="5" t="s">
        <v>444</v>
      </c>
      <c r="F20" s="4" t="n">
        <f aca="false">SUMIF($A$5:$A$45,E20,$B$5:$B$45)</f>
        <v>8</v>
      </c>
    </row>
    <row r="21" customFormat="false" ht="15" hidden="false" customHeight="false" outlineLevel="0" collapsed="false">
      <c r="A21" s="6" t="s">
        <v>415</v>
      </c>
      <c r="B21" s="4" t="n">
        <v>4</v>
      </c>
      <c r="C21" s="5" t="s">
        <v>445</v>
      </c>
      <c r="E21" s="5" t="s">
        <v>446</v>
      </c>
      <c r="F21" s="4" t="n">
        <f aca="false">SUMIF($A$5:$A$45,E21,$B$5:$B$45)</f>
        <v>2</v>
      </c>
    </row>
    <row r="22" customFormat="false" ht="15" hidden="false" customHeight="false" outlineLevel="0" collapsed="false">
      <c r="A22" s="6" t="s">
        <v>436</v>
      </c>
      <c r="B22" s="4" t="n">
        <v>6</v>
      </c>
      <c r="C22" s="5" t="s">
        <v>447</v>
      </c>
      <c r="E22" s="5" t="s">
        <v>448</v>
      </c>
      <c r="F22" s="4" t="n">
        <f aca="false">SUMIF($A$5:$A$45,E22,$B$5:$B$45)</f>
        <v>4</v>
      </c>
    </row>
    <row r="23" customFormat="false" ht="15" hidden="false" customHeight="false" outlineLevel="0" collapsed="false">
      <c r="A23" s="6" t="s">
        <v>438</v>
      </c>
      <c r="B23" s="4" t="n">
        <v>6</v>
      </c>
      <c r="C23" s="5" t="s">
        <v>449</v>
      </c>
      <c r="E23" s="5" t="s">
        <v>450</v>
      </c>
      <c r="F23" s="4" t="n">
        <f aca="false">SUMIF($A$5:$A$45,E23,$B$5:$B$45)</f>
        <v>10</v>
      </c>
    </row>
    <row r="24" customFormat="false" ht="15" hidden="false" customHeight="false" outlineLevel="0" collapsed="false">
      <c r="A24" s="6" t="s">
        <v>438</v>
      </c>
      <c r="B24" s="4" t="n">
        <v>2</v>
      </c>
      <c r="C24" s="5" t="s">
        <v>451</v>
      </c>
      <c r="E24" s="5" t="s">
        <v>452</v>
      </c>
      <c r="F24" s="4" t="n">
        <f aca="false">SUMIF($A$5:$A$45,E24,$B$5:$B$45)</f>
        <v>12</v>
      </c>
    </row>
    <row r="25" customFormat="false" ht="15" hidden="false" customHeight="false" outlineLevel="0" collapsed="false">
      <c r="A25" s="6" t="s">
        <v>440</v>
      </c>
      <c r="B25" s="4" t="n">
        <v>4</v>
      </c>
      <c r="C25" s="5" t="s">
        <v>453</v>
      </c>
      <c r="E25" s="11" t="s">
        <v>454</v>
      </c>
      <c r="F25" s="21" t="n">
        <f aca="false">SUM(F5:F24)</f>
        <v>152</v>
      </c>
    </row>
    <row r="26" customFormat="false" ht="15" hidden="false" customHeight="false" outlineLevel="0" collapsed="false">
      <c r="A26" s="6" t="s">
        <v>442</v>
      </c>
      <c r="B26" s="4" t="n">
        <v>2</v>
      </c>
      <c r="C26" s="5" t="s">
        <v>455</v>
      </c>
    </row>
    <row r="27" customFormat="false" ht="15" hidden="false" customHeight="false" outlineLevel="0" collapsed="false">
      <c r="A27" s="6" t="s">
        <v>442</v>
      </c>
      <c r="B27" s="4" t="n">
        <v>6</v>
      </c>
      <c r="C27" s="5" t="s">
        <v>456</v>
      </c>
    </row>
    <row r="28" customFormat="false" ht="15" hidden="false" customHeight="false" outlineLevel="0" collapsed="false">
      <c r="A28" s="6" t="s">
        <v>442</v>
      </c>
      <c r="B28" s="4" t="n">
        <v>4</v>
      </c>
      <c r="C28" s="5" t="s">
        <v>457</v>
      </c>
    </row>
    <row r="29" customFormat="false" ht="15" hidden="false" customHeight="false" outlineLevel="0" collapsed="false">
      <c r="A29" s="6" t="s">
        <v>444</v>
      </c>
      <c r="B29" s="4" t="n">
        <v>4</v>
      </c>
      <c r="C29" s="5" t="s">
        <v>458</v>
      </c>
    </row>
    <row r="30" customFormat="false" ht="15" hidden="false" customHeight="false" outlineLevel="0" collapsed="false">
      <c r="A30" s="6" t="s">
        <v>444</v>
      </c>
      <c r="B30" s="4" t="n">
        <v>4</v>
      </c>
      <c r="C30" s="5" t="s">
        <v>459</v>
      </c>
    </row>
    <row r="31" customFormat="false" ht="15" hidden="false" customHeight="false" outlineLevel="0" collapsed="false">
      <c r="A31" s="6" t="s">
        <v>426</v>
      </c>
      <c r="B31" s="4" t="n">
        <v>4</v>
      </c>
      <c r="C31" s="5" t="s">
        <v>460</v>
      </c>
    </row>
    <row r="32" customFormat="false" ht="15" hidden="false" customHeight="false" outlineLevel="0" collapsed="false">
      <c r="A32" s="6" t="s">
        <v>442</v>
      </c>
      <c r="B32" s="4" t="n">
        <v>6</v>
      </c>
      <c r="C32" s="5" t="s">
        <v>461</v>
      </c>
    </row>
    <row r="33" customFormat="false" ht="15" hidden="false" customHeight="false" outlineLevel="0" collapsed="false">
      <c r="A33" s="6" t="s">
        <v>442</v>
      </c>
      <c r="B33" s="4" t="n">
        <v>4</v>
      </c>
      <c r="C33" s="5" t="s">
        <v>462</v>
      </c>
    </row>
    <row r="34" customFormat="false" ht="15" hidden="false" customHeight="false" outlineLevel="0" collapsed="false">
      <c r="A34" s="6" t="s">
        <v>413</v>
      </c>
      <c r="B34" s="4" t="n">
        <v>6</v>
      </c>
      <c r="C34" s="5" t="s">
        <v>463</v>
      </c>
    </row>
    <row r="35" customFormat="false" ht="15" hidden="false" customHeight="false" outlineLevel="0" collapsed="false">
      <c r="A35" s="6" t="s">
        <v>413</v>
      </c>
      <c r="B35" s="4" t="n">
        <v>4</v>
      </c>
      <c r="C35" s="5" t="s">
        <v>464</v>
      </c>
    </row>
    <row r="36" customFormat="false" ht="15" hidden="false" customHeight="false" outlineLevel="0" collapsed="false">
      <c r="A36" s="6" t="s">
        <v>413</v>
      </c>
      <c r="B36" s="4" t="n">
        <v>2</v>
      </c>
      <c r="C36" s="5" t="s">
        <v>465</v>
      </c>
    </row>
    <row r="37" customFormat="false" ht="15" hidden="false" customHeight="false" outlineLevel="0" collapsed="false">
      <c r="A37" s="6" t="s">
        <v>442</v>
      </c>
      <c r="B37" s="4" t="n">
        <v>5</v>
      </c>
      <c r="C37" s="5" t="s">
        <v>466</v>
      </c>
    </row>
    <row r="38" customFormat="false" ht="15" hidden="false" customHeight="false" outlineLevel="0" collapsed="false">
      <c r="A38" s="6" t="s">
        <v>442</v>
      </c>
      <c r="B38" s="4" t="n">
        <v>4</v>
      </c>
      <c r="C38" s="5" t="s">
        <v>467</v>
      </c>
    </row>
    <row r="39" customFormat="false" ht="15" hidden="false" customHeight="false" outlineLevel="0" collapsed="false">
      <c r="A39" s="6" t="s">
        <v>442</v>
      </c>
      <c r="B39" s="4" t="n">
        <v>2</v>
      </c>
      <c r="C39" s="5" t="s">
        <v>468</v>
      </c>
    </row>
    <row r="40" customFormat="false" ht="15" hidden="false" customHeight="false" outlineLevel="0" collapsed="false">
      <c r="A40" s="6" t="s">
        <v>446</v>
      </c>
      <c r="B40" s="4" t="n">
        <v>2</v>
      </c>
      <c r="C40" s="5" t="s">
        <v>469</v>
      </c>
    </row>
    <row r="41" customFormat="false" ht="15" hidden="false" customHeight="false" outlineLevel="0" collapsed="false">
      <c r="A41" s="6" t="s">
        <v>448</v>
      </c>
      <c r="B41" s="4" t="n">
        <v>4</v>
      </c>
      <c r="C41" s="5" t="s">
        <v>470</v>
      </c>
    </row>
    <row r="42" customFormat="false" ht="15" hidden="false" customHeight="false" outlineLevel="0" collapsed="false">
      <c r="A42" s="6" t="s">
        <v>450</v>
      </c>
      <c r="B42" s="4" t="n">
        <v>10</v>
      </c>
      <c r="C42" s="5" t="s">
        <v>471</v>
      </c>
    </row>
    <row r="43" customFormat="false" ht="15" hidden="false" customHeight="false" outlineLevel="0" collapsed="false">
      <c r="A43" s="6" t="s">
        <v>452</v>
      </c>
      <c r="B43" s="4" t="n">
        <v>12</v>
      </c>
      <c r="C43" s="5" t="s">
        <v>472</v>
      </c>
    </row>
    <row r="44" customFormat="false" ht="15" hidden="false" customHeight="false" outlineLevel="0" collapsed="false">
      <c r="A44" s="6" t="s">
        <v>426</v>
      </c>
      <c r="B44" s="4" t="n">
        <v>4</v>
      </c>
      <c r="C44" s="5" t="s">
        <v>473</v>
      </c>
    </row>
    <row r="45" customFormat="false" ht="15" hidden="false" customHeight="false" outlineLevel="0" collapsed="false">
      <c r="A45" s="6" t="s">
        <v>426</v>
      </c>
      <c r="B45" s="4" t="n">
        <v>4</v>
      </c>
      <c r="C45" s="5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1"/>
    <col collapsed="false" customWidth="true" hidden="false" outlineLevel="0" max="4" min="4" style="0" width="46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475</v>
      </c>
    </row>
    <row r="2" customFormat="false" ht="30" hidden="false" customHeight="true" outlineLevel="0" collapsed="false">
      <c r="A2" s="2" t="s">
        <v>476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8" t="s">
        <v>477</v>
      </c>
      <c r="B3" s="25" t="n">
        <v>60</v>
      </c>
      <c r="C3" s="18" t="s">
        <v>478</v>
      </c>
      <c r="D3" s="25" t="n">
        <v>110</v>
      </c>
    </row>
    <row r="5" customFormat="false" ht="30" hidden="false" customHeight="true" outlineLevel="0" collapsed="false">
      <c r="A5" s="3" t="s">
        <v>479</v>
      </c>
      <c r="B5" s="3" t="s">
        <v>480</v>
      </c>
      <c r="C5" s="3" t="s">
        <v>481</v>
      </c>
      <c r="D5" s="3" t="s">
        <v>482</v>
      </c>
      <c r="E5" s="3" t="s">
        <v>483</v>
      </c>
      <c r="F5" s="3" t="s">
        <v>484</v>
      </c>
      <c r="G5" s="3" t="s">
        <v>485</v>
      </c>
      <c r="H5" s="3" t="s">
        <v>486</v>
      </c>
      <c r="I5" s="3" t="s">
        <v>487</v>
      </c>
    </row>
    <row r="6" customFormat="false" ht="23.85" hidden="false" customHeight="false" outlineLevel="0" collapsed="false">
      <c r="A6" s="6" t="s">
        <v>488</v>
      </c>
      <c r="B6" s="20" t="n">
        <v>415.7</v>
      </c>
      <c r="C6" s="20" t="n">
        <v>261</v>
      </c>
      <c r="D6" s="5" t="s">
        <v>489</v>
      </c>
      <c r="E6" s="4" t="n">
        <v>3</v>
      </c>
      <c r="F6" s="4" t="n">
        <v>0</v>
      </c>
      <c r="G6" s="26" t="n">
        <f aca="false">B6*C6/1000000</f>
        <v>0.1084977</v>
      </c>
      <c r="H6" s="9" t="n">
        <f aca="false">G6*IF(ISNUMBER(SEARCH("PLEXI",D6)),$D$3,$B$3)</f>
        <v>6.509862</v>
      </c>
      <c r="I6" s="5" t="s">
        <v>490</v>
      </c>
    </row>
    <row r="7" customFormat="false" ht="23.85" hidden="false" customHeight="false" outlineLevel="0" collapsed="false">
      <c r="A7" s="6" t="s">
        <v>491</v>
      </c>
      <c r="B7" s="20" t="n">
        <v>415.7</v>
      </c>
      <c r="C7" s="20" t="n">
        <v>261</v>
      </c>
      <c r="D7" s="5" t="s">
        <v>492</v>
      </c>
      <c r="E7" s="4" t="n">
        <v>3</v>
      </c>
      <c r="F7" s="4" t="n">
        <v>0</v>
      </c>
      <c r="G7" s="26" t="n">
        <f aca="false">B7*C7/1000000</f>
        <v>0.1084977</v>
      </c>
      <c r="H7" s="9" t="n">
        <f aca="false">G7*IF(ISNUMBER(SEARCH("PLEXI",D7)),$D$3,$B$3)</f>
        <v>6.509862</v>
      </c>
      <c r="I7" s="5" t="s">
        <v>493</v>
      </c>
    </row>
    <row r="8" customFormat="false" ht="23.85" hidden="false" customHeight="false" outlineLevel="0" collapsed="false">
      <c r="A8" s="6" t="s">
        <v>494</v>
      </c>
      <c r="B8" s="20" t="n">
        <v>500.7</v>
      </c>
      <c r="C8" s="20" t="n">
        <v>261</v>
      </c>
      <c r="D8" s="5" t="s">
        <v>492</v>
      </c>
      <c r="E8" s="4" t="n">
        <v>103</v>
      </c>
      <c r="F8" s="4" t="n">
        <v>1</v>
      </c>
      <c r="G8" s="26" t="n">
        <f aca="false">B8*C8/1000000</f>
        <v>0.1306827</v>
      </c>
      <c r="H8" s="9" t="n">
        <f aca="false">G8*IF(ISNUMBER(SEARCH("PLEXI",D8)),$D$3,$B$3)</f>
        <v>7.840962</v>
      </c>
      <c r="I8" s="5" t="s">
        <v>495</v>
      </c>
    </row>
    <row r="9" customFormat="false" ht="23.85" hidden="false" customHeight="false" outlineLevel="0" collapsed="false">
      <c r="A9" s="6" t="s">
        <v>496</v>
      </c>
      <c r="B9" s="20" t="n">
        <v>500.7</v>
      </c>
      <c r="C9" s="20" t="n">
        <v>261</v>
      </c>
      <c r="D9" s="5" t="s">
        <v>492</v>
      </c>
      <c r="E9" s="4" t="n">
        <v>16</v>
      </c>
      <c r="F9" s="4" t="n">
        <v>0</v>
      </c>
      <c r="G9" s="26" t="n">
        <f aca="false">B9*C9/1000000</f>
        <v>0.1306827</v>
      </c>
      <c r="H9" s="9" t="n">
        <f aca="false">G9*IF(ISNUMBER(SEARCH("PLEXI",D9)),$D$3,$B$3)</f>
        <v>7.840962</v>
      </c>
      <c r="I9" s="5" t="s">
        <v>497</v>
      </c>
    </row>
    <row r="10" customFormat="false" ht="23.85" hidden="false" customHeight="false" outlineLevel="0" collapsed="false">
      <c r="A10" s="6" t="s">
        <v>498</v>
      </c>
      <c r="B10" s="20" t="n">
        <v>430.6</v>
      </c>
      <c r="C10" s="20" t="n">
        <v>205.3</v>
      </c>
      <c r="D10" s="5" t="s">
        <v>499</v>
      </c>
      <c r="E10" s="4" t="n">
        <v>4</v>
      </c>
      <c r="F10" s="4" t="n">
        <v>1</v>
      </c>
      <c r="G10" s="26" t="n">
        <f aca="false">B10*C10/1000000</f>
        <v>0.08840218</v>
      </c>
      <c r="H10" s="9" t="n">
        <f aca="false">G10*IF(ISNUMBER(SEARCH("PLEXI",D10)),$D$3,$B$3)</f>
        <v>5.3041308</v>
      </c>
      <c r="I10" s="5" t="s">
        <v>500</v>
      </c>
    </row>
    <row r="11" customFormat="false" ht="15" hidden="false" customHeight="false" outlineLevel="0" collapsed="false">
      <c r="A11" s="6" t="s">
        <v>501</v>
      </c>
      <c r="B11" s="20" t="n">
        <v>192.5</v>
      </c>
      <c r="C11" s="20" t="n">
        <v>247</v>
      </c>
      <c r="D11" s="5" t="s">
        <v>502</v>
      </c>
      <c r="E11" s="4" t="n">
        <v>2</v>
      </c>
      <c r="F11" s="4" t="n">
        <v>0</v>
      </c>
      <c r="G11" s="26" t="n">
        <f aca="false">B11*C11/1000000</f>
        <v>0.0475475</v>
      </c>
      <c r="H11" s="9" t="n">
        <f aca="false">G11*IF(ISNUMBER(SEARCH("PLEXI",D11)),$D$3,$B$3)</f>
        <v>2.85285</v>
      </c>
      <c r="I11" s="5" t="s">
        <v>503</v>
      </c>
    </row>
    <row r="12" customFormat="false" ht="15" hidden="false" customHeight="false" outlineLevel="0" collapsed="false">
      <c r="A12" s="6" t="s">
        <v>504</v>
      </c>
      <c r="B12" s="20" t="n">
        <v>121.5</v>
      </c>
      <c r="C12" s="20" t="n">
        <v>247</v>
      </c>
      <c r="D12" s="5" t="s">
        <v>502</v>
      </c>
      <c r="E12" s="4" t="n">
        <v>1</v>
      </c>
      <c r="F12" s="4" t="n">
        <v>0</v>
      </c>
      <c r="G12" s="26" t="n">
        <f aca="false">B12*C12/1000000</f>
        <v>0.0300105</v>
      </c>
      <c r="H12" s="9" t="n">
        <f aca="false">G12*IF(ISNUMBER(SEARCH("PLEXI",D12)),$D$3,$B$3)</f>
        <v>1.80063</v>
      </c>
      <c r="I12" s="5" t="s">
        <v>505</v>
      </c>
    </row>
    <row r="13" customFormat="false" ht="23.85" hidden="false" customHeight="false" outlineLevel="0" collapsed="false">
      <c r="A13" s="6" t="s">
        <v>506</v>
      </c>
      <c r="B13" s="20" t="n">
        <v>430.6</v>
      </c>
      <c r="C13" s="20" t="n">
        <v>309.8</v>
      </c>
      <c r="D13" s="5" t="s">
        <v>507</v>
      </c>
      <c r="E13" s="4" t="n">
        <v>9</v>
      </c>
      <c r="F13" s="4" t="n">
        <v>0</v>
      </c>
      <c r="G13" s="26" t="n">
        <f aca="false">B13*C13/1000000</f>
        <v>0.13339988</v>
      </c>
      <c r="H13" s="9" t="n">
        <f aca="false">G13*IF(ISNUMBER(SEARCH("PLEXI",D13)),$D$3,$B$3)</f>
        <v>14.6739868</v>
      </c>
      <c r="I13" s="5" t="s">
        <v>508</v>
      </c>
    </row>
    <row r="14" customFormat="false" ht="15" hidden="false" customHeight="false" outlineLevel="0" collapsed="false">
      <c r="A14" s="11" t="s">
        <v>405</v>
      </c>
      <c r="B14" s="10"/>
      <c r="C14" s="10"/>
      <c r="D14" s="10"/>
      <c r="E14" s="10"/>
      <c r="F14" s="10"/>
      <c r="G14" s="27" t="n">
        <f aca="false">SUM(G6:G13)</f>
        <v>0.77772086</v>
      </c>
      <c r="H14" s="12" t="n">
        <f aca="false">SUM(H6:H13)</f>
        <v>53.3332456</v>
      </c>
      <c r="I14" s="10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2026-10-13T07:49:18Z</dcterms:created>
  <dc:creator>openpyxl</dc:creator>
  <dc:description/>
  <dc:language>en-US</dc:language>
  <cp:lastModifiedBy/>
  <dcterms:modified xsi:type="dcterms:W3CDTF">2026-10-13T07:49:18Z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