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 acquistare" sheetId="1" state="visible" r:id="rId3"/>
    <sheet name="Già acquistati" sheetId="2" state="visible" r:id="rId4"/>
    <sheet name="Pezzi stampati" sheetId="3" state="visible" r:id="rId5"/>
    <sheet name="Viteri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<sst xmlns="http://schemas.openxmlformats.org/spreadsheetml/2006/main" count="530" uniqueCount="378">
  <si>
    <t xml:space="preserve">FilMachine - nuova distinta: componenti da acquistare</t>
  </si>
  <si>
    <t xml:space="preserve">Prezzi unitari in blu: stime indicative (ottobre 2026), da verificare all'acquisto. Controllati sul web solo: contenitore Euro RS PRO 400 x 300 x 170 = 26,13 € IVA inclusa (it.rs-online.com, codice 163-1899; altrove costa meno) e vaschette Araven GN 1/9 150 mm con coperchio, circa 7,50 € l'una (nisbets.com.au, codice T983, confezione da 4).</t>
  </si>
  <si>
    <t xml:space="preserve">N.</t>
  </si>
  <si>
    <t xml:space="preserve">Gruppo</t>
  </si>
  <si>
    <t xml:space="preserve">Componente</t>
  </si>
  <si>
    <t xml:space="preserve">Specifiche</t>
  </si>
  <si>
    <t xml:space="preserve">Q.tà</t>
  </si>
  <si>
    <t xml:space="preserve">Unità</t>
  </si>
  <si>
    <t xml:space="preserve">Prezzo unitario indicativo (€)</t>
  </si>
  <si>
    <t xml:space="preserve">Totale (€)</t>
  </si>
  <si>
    <t xml:space="preserve">Dove si usa</t>
  </si>
  <si>
    <t xml:space="preserve">Note</t>
  </si>
  <si>
    <t xml:space="preserve">Bagno e vaschette</t>
  </si>
  <si>
    <t xml:space="preserve">Contenitore Euro 400 x 300 x 170 mm</t>
  </si>
  <si>
    <t xml:space="preserve">polipropilene, pareti e fondo CHIUSI (non forato), maniglie chiuse; interno circa 365 x 265 x 165</t>
  </si>
  <si>
    <t xml:space="preserve">pz</t>
  </si>
  <si>
    <t xml:space="preserve">bagno termostatico</t>
  </si>
  <si>
    <t xml:space="preserve">regge 70 °C; vanno fatti due fori Ø16,5 per i riscaldatori</t>
  </si>
  <si>
    <t xml:space="preserve">Vaschetta Gastronorm GN 1/9, altezza 150 mm</t>
  </si>
  <si>
    <t xml:space="preserve">176 x 108 mm, 1,5 l, polipropilene, con coperchio</t>
  </si>
  <si>
    <t xml:space="preserve">chimiche C1, C2, C3</t>
  </si>
  <si>
    <t xml:space="preserve">il coperchio serve per conservare la chimica fuori dalla macchina</t>
  </si>
  <si>
    <t xml:space="preserve">Tubo quadro di alluminio 15 x 15 x 1,5 mm</t>
  </si>
  <si>
    <t xml:space="preserve">barra da 1 m (servono due spezzoni da 356 mm)</t>
  </si>
  <si>
    <t xml:space="preserve">longheroni che reggono le vaschette</t>
  </si>
  <si>
    <t xml:space="preserve">Dado basso M16 inox + 2 guarnizioni piane in silicone 16 x 24 x 2</t>
  </si>
  <si>
    <t xml:space="preserve">una serie per riscaldatore</t>
  </si>
  <si>
    <t xml:space="preserve">serie</t>
  </si>
  <si>
    <t xml:space="preserve">passaggio dei riscaldatori nella parete del bagno</t>
  </si>
  <si>
    <t xml:space="preserve">controllare il passo del filetto sul riscaldatore</t>
  </si>
  <si>
    <t xml:space="preserve">Termostato bimetallico KSD301 normalmente chiuso, 60 °C, 10 A</t>
  </si>
  <si>
    <t xml:space="preserve">sicurezza, in serie a ogni riscaldatore</t>
  </si>
  <si>
    <t xml:space="preserve">i riscaldatori non devono mai lavorare a secco</t>
  </si>
  <si>
    <t xml:space="preserve">Nastro biadesivo per esterni (tipo VHB) 19 mm</t>
  </si>
  <si>
    <t xml:space="preserve">rotolo corto</t>
  </si>
  <si>
    <t xml:space="preserve">sensori di livello XKC-Y21 sulla parete del bagno</t>
  </si>
  <si>
    <t xml:space="preserve">Idraulica</t>
  </si>
  <si>
    <t xml:space="preserve">Tubo LLDPE 3/8" (9,52 x 6,35 mm) per osmosi inversa</t>
  </si>
  <si>
    <t xml:space="preserve">rotolo da 10 m (ne servono circa 3)</t>
  </si>
  <si>
    <t xml:space="preserve">tutte le linee</t>
  </si>
  <si>
    <t xml:space="preserve">Gomito a innesto rapido 3/8" - 3/8"</t>
  </si>
  <si>
    <t xml:space="preserve">per tubo da 9,52 mm</t>
  </si>
  <si>
    <t xml:space="preserve">6 nelle tre testine, 1 sopra la valvola dello scarico, 1 ai piedi della salita verso la tank</t>
  </si>
  <si>
    <t xml:space="preserve">2 di scorta; meglio in polipropilene</t>
  </si>
  <si>
    <t xml:space="preserve">Gomito a codolo 3/8" (un lato a innesto, l'altro a codolo liscio da 9,52 mm)</t>
  </si>
  <si>
    <t xml:space="preserve">in inglese "stem elbow"</t>
  </si>
  <si>
    <t xml:space="preserve">uscita del collettore (il codolo entra nella sede con O-ring) e raccordo destro della pompa</t>
  </si>
  <si>
    <t xml:space="preserve">codolo lungo almeno 33 mm dall'angolo sul collettore; sulla pompa va accorciato a 27 mm</t>
  </si>
  <si>
    <t xml:space="preserve">Raccordo diritto: filetto maschio 3/8" BSP - tubo 3/8" a innesto</t>
  </si>
  <si>
    <t xml:space="preserve">attacchi della pompa</t>
  </si>
  <si>
    <t xml:space="preserve">con nastro in PTFE</t>
  </si>
  <si>
    <t xml:space="preserve">Passaparete a innesto rapido 3/8" - 3/8"</t>
  </si>
  <si>
    <t xml:space="preserve">foro Ø16</t>
  </si>
  <si>
    <t xml:space="preserve">attacco SCARICO sulla staffa C09</t>
  </si>
  <si>
    <t xml:space="preserve">Raccordo a T 3/8" + rubinetto a sfera 3/8" a innesto</t>
  </si>
  <si>
    <t xml:space="preserve">scarico manuale del bagno</t>
  </si>
  <si>
    <t xml:space="preserve">facoltativo</t>
  </si>
  <si>
    <t xml:space="preserve">Tubo in silicone 8 x 12 mm, NERO</t>
  </si>
  <si>
    <t xml:space="preserve">3 m</t>
  </si>
  <si>
    <t xml:space="preserve">tre sifoni, tubo della tank, troppopieno, tubi verso le taniche</t>
  </si>
  <si>
    <t xml:space="preserve">nero: i due tubi che arrivano alla tank non devono far passare la luce</t>
  </si>
  <si>
    <t xml:space="preserve">O-ring 9 x 2 in EPDM</t>
  </si>
  <si>
    <t xml:space="preserve">sei sedi del collettore C07</t>
  </si>
  <si>
    <t xml:space="preserve">4 di scorta</t>
  </si>
  <si>
    <t xml:space="preserve">Fascette in nylon 2,5 x 100 mm</t>
  </si>
  <si>
    <t xml:space="preserve">confezione da 100</t>
  </si>
  <si>
    <t xml:space="preserve">conf</t>
  </si>
  <si>
    <t xml:space="preserve">valvole, sifoni, testine, cavi</t>
  </si>
  <si>
    <t xml:space="preserve">Grasso al silicone per O-ring</t>
  </si>
  <si>
    <t xml:space="preserve">tubetto</t>
  </si>
  <si>
    <t xml:space="preserve">O-ring, paraolio, baionetta della spirale</t>
  </si>
  <si>
    <t xml:space="preserve">Tank e caricatore</t>
  </si>
  <si>
    <t xml:space="preserve">Albero in acciaio inox Ø8 x 61 mm</t>
  </si>
  <si>
    <t xml:space="preserve">barra rettificata h6/h7, due spianature per i grani</t>
  </si>
  <si>
    <t xml:space="preserve">trasmissione della spirale</t>
  </si>
  <si>
    <t xml:space="preserve">Cuscinetto 688-2RS (8 x 16 x 5)</t>
  </si>
  <si>
    <t xml:space="preserve">meglio in acciaio inox</t>
  </si>
  <si>
    <t xml:space="preserve">cartuccia B17</t>
  </si>
  <si>
    <t xml:space="preserve">Paraolio 8 x 16 x 5</t>
  </si>
  <si>
    <t xml:space="preserve">NBR</t>
  </si>
  <si>
    <t xml:space="preserve">tenuta dell'albero verso la vasca</t>
  </si>
  <si>
    <t xml:space="preserve">Rondella inox M8 (8,4 x 16 x 1,6)</t>
  </si>
  <si>
    <t xml:space="preserve">reggispinta tra trascinatore e cartuccia</t>
  </si>
  <si>
    <t xml:space="preserve">O-ring 24 x 2</t>
  </si>
  <si>
    <t xml:space="preserve">tenuta della flangia della cartuccia</t>
  </si>
  <si>
    <t xml:space="preserve">O-ring 80 x 3 in EPDM</t>
  </si>
  <si>
    <t xml:space="preserve">cinghia tonda tra motore e spirale</t>
  </si>
  <si>
    <t xml:space="preserve">uno di scorta</t>
  </si>
  <si>
    <t xml:space="preserve">Magneti al neodimio Ø6 x 3</t>
  </si>
  <si>
    <t xml:space="preserve">confezione da 10 (ne servono 4)</t>
  </si>
  <si>
    <t xml:space="preserve">ruota magneti del sensore Hall</t>
  </si>
  <si>
    <t xml:space="preserve">Molla a compressione Ø6 x 22 mm, filo 0,5</t>
  </si>
  <si>
    <t xml:space="preserve">perno folle a molla</t>
  </si>
  <si>
    <t xml:space="preserve">Micro-servo MG90S</t>
  </si>
  <si>
    <t xml:space="preserve">con squadretta a un braccio</t>
  </si>
  <si>
    <t xml:space="preserve">taglierina</t>
  </si>
  <si>
    <t xml:space="preserve">Lame di ricambio per cutter da 9 mm</t>
  </si>
  <si>
    <t xml:space="preserve">confezione da 10</t>
  </si>
  <si>
    <t xml:space="preserve">due spezzoni da 36 mm nella taglierina</t>
  </si>
  <si>
    <t xml:space="preserve">Velluto nero adesivo</t>
  </si>
  <si>
    <t xml:space="preserve">striscia da 1 m</t>
  </si>
  <si>
    <t xml:space="preserve">guarnizione di luce su coperchio e fessura</t>
  </si>
  <si>
    <t xml:space="preserve">facoltativo, da decidere dopo la prova di tenuta alla luce</t>
  </si>
  <si>
    <t xml:space="preserve">Elettrico</t>
  </si>
  <si>
    <t xml:space="preserve">Presa IEC C14 da pannello con interruttore e portafusibile</t>
  </si>
  <si>
    <t xml:space="preserve">foro 27,5 x 47,5 mm</t>
  </si>
  <si>
    <t xml:space="preserve">fianco sinistro del vano elettronica</t>
  </si>
  <si>
    <t xml:space="preserve">Cavo di alimentazione con spina e connettore IEC C13</t>
  </si>
  <si>
    <t xml:space="preserve">Modulo MOSFET 15 A (tipo D4184), ingresso 3,3-20 V</t>
  </si>
  <si>
    <t xml:space="preserve">riscaldatori (uscite B6 e B7)</t>
  </si>
  <si>
    <t xml:space="preserve">al posto del modulo IRF540, che a 8,3 A scalda troppo</t>
  </si>
  <si>
    <t xml:space="preserve">Portafusibile a lama in linea con fusibile</t>
  </si>
  <si>
    <t xml:space="preserve">uno da 10 A, uno da 5 A</t>
  </si>
  <si>
    <t xml:space="preserve">pompa; valvole e logica</t>
  </si>
  <si>
    <t xml:space="preserve">consigliati</t>
  </si>
  <si>
    <t xml:space="preserve">Cavo unipolare 1,5 mm2 rosso e nero</t>
  </si>
  <si>
    <t xml:space="preserve">5 m + 5 m</t>
  </si>
  <si>
    <t xml:space="preserve">linee a 12 V di riscaldatori e pompa</t>
  </si>
  <si>
    <t xml:space="preserve">Cavetti per segnali, puntalini, connettori</t>
  </si>
  <si>
    <t xml:space="preserve">assortimento</t>
  </si>
  <si>
    <t xml:space="preserve">sensori, valvole, servo</t>
  </si>
  <si>
    <t xml:space="preserve">Passacavo in gomma Ø22</t>
  </si>
  <si>
    <t xml:space="preserve">paratia, fianco destro, cavalletto</t>
  </si>
  <si>
    <t xml:space="preserve">Resistenza 4,7 kohm</t>
  </si>
  <si>
    <t xml:space="preserve">pull-up del bus DS18B20</t>
  </si>
  <si>
    <t xml:space="preserve">se non e' gia' sulla scheda</t>
  </si>
  <si>
    <t xml:space="preserve">Tester per servo</t>
  </si>
  <si>
    <t xml:space="preserve">prova della taglierina senza firmware</t>
  </si>
  <si>
    <t xml:space="preserve">Struttura e viteria</t>
  </si>
  <si>
    <t xml:space="preserve">Multistrato 420 x 505 x 12 mm</t>
  </si>
  <si>
    <t xml:space="preserve">tagliato a misura</t>
  </si>
  <si>
    <t xml:space="preserve">base della macchina</t>
  </si>
  <si>
    <t xml:space="preserve">verniciare o impregnare</t>
  </si>
  <si>
    <t xml:space="preserve">Piedini in gomma Ø20</t>
  </si>
  <si>
    <t xml:space="preserve">sotto la base</t>
  </si>
  <si>
    <t xml:space="preserve">Viti autofilettanti per plastica 3 x 8</t>
  </si>
  <si>
    <t xml:space="preserve">testa cilindrica, confezione da 50 (ne servono 28)</t>
  </si>
  <si>
    <t xml:space="preserve">vedi foglio Viteria</t>
  </si>
  <si>
    <t xml:space="preserve">Viti autofilettanti per plastica 3 x 10</t>
  </si>
  <si>
    <t xml:space="preserve">testa cilindrica, confezione da 100 (ne servono 30)</t>
  </si>
  <si>
    <t xml:space="preserve">Viti autofilettanti per plastica 3 x 16</t>
  </si>
  <si>
    <t xml:space="preserve">testa cilindrica, confezione da 50 (ne servono 8)</t>
  </si>
  <si>
    <t xml:space="preserve">Viti M3 x 16 con dado</t>
  </si>
  <si>
    <t xml:space="preserve">20 pezzi (ne servono 10)</t>
  </si>
  <si>
    <t xml:space="preserve">morsetti delle schede</t>
  </si>
  <si>
    <t xml:space="preserve">M3 x 12 e' troppo corta: morsetto 8,7 mm + ripiano 3 mm + dado</t>
  </si>
  <si>
    <t xml:space="preserve">Minuteria: 3 grani M3 x 6 con dado M3, 4 viti autofilettanti M2 x 6, 1 vite M2,5 x 8, 2 viti M3 x 8, 2 viti M3 x 10, 1 vite M3 x 5</t>
  </si>
  <si>
    <t xml:space="preserve">trascinatore, pulegge, morsetti lama, manovella, motoriduttore, perno folle, modulo Hall</t>
  </si>
  <si>
    <t xml:space="preserve">una delle M3 x 10 fa da spinotto tra biella e portalama, al posto della spina Ø3 x 8</t>
  </si>
  <si>
    <t xml:space="preserve">Viti per lamiera 2,9 x 9,5 (8 pezzi) e 2,9 x 13 (6 pezzi)</t>
  </si>
  <si>
    <t xml:space="preserve">testa cilindrica; una confezione piccola per misura</t>
  </si>
  <si>
    <t xml:space="preserve">staffe, fermi e portasonde sui longheroni di alluminio</t>
  </si>
  <si>
    <t xml:space="preserve">forare l'alluminio a 2,4 mm</t>
  </si>
  <si>
    <t xml:space="preserve">Viti M4 x 12</t>
  </si>
  <si>
    <t xml:space="preserve">4 pezzi</t>
  </si>
  <si>
    <t xml:space="preserve">testate del telaio sotto la fascia del contenitore</t>
  </si>
  <si>
    <t xml:space="preserve">Viti da legno 3,5 x 12 a testa cilindrica (+ 4 da 3,5 x 20)</t>
  </si>
  <si>
    <t xml:space="preserve">confezione da 50</t>
  </si>
  <si>
    <t xml:space="preserve">tutti i pezzi fissati alla base (dima); le 4 lunghe per le colonnine</t>
  </si>
  <si>
    <t xml:space="preserve">non piu' lunghe: la base e' spessa 12 mm</t>
  </si>
  <si>
    <t xml:space="preserve">Barra filettata M3 x 130 mm con dadi e rondelle</t>
  </si>
  <si>
    <t xml:space="preserve">colonna dei tre ripiani a griglia</t>
  </si>
  <si>
    <t xml:space="preserve">Filamento PETG, bobina da 1 kg</t>
  </si>
  <si>
    <t xml:space="preserve">tutti i pezzi stampati</t>
  </si>
  <si>
    <t xml:space="preserve">stima: vedi foglio Pezzi stampati</t>
  </si>
  <si>
    <t xml:space="preserve">TOTALE da acquistare</t>
  </si>
  <si>
    <t xml:space="preserve">Totale per gruppo</t>
  </si>
  <si>
    <t xml:space="preserve">di cui facoltativi (T e rubinetto, velluto, tester per servo)</t>
  </si>
  <si>
    <t xml:space="preserve">Componenti già acquistati (DistintaComponenti.xlsx) e loro uso in questa macchina</t>
  </si>
  <si>
    <t xml:space="preserve">Quantità e prezzi sono quelli della distinta originale del progetto.</t>
  </si>
  <si>
    <t xml:space="preserve">Prezzo unitario (€)</t>
  </si>
  <si>
    <t xml:space="preserve">Uso in questa macchina</t>
  </si>
  <si>
    <t xml:space="preserve">Alimentatore 12V 30A</t>
  </si>
  <si>
    <t xml:space="preserve">Usato: in piedi nello zoccolo D16, contro la paratia</t>
  </si>
  <si>
    <t xml:space="preserve">Display</t>
  </si>
  <si>
    <t xml:space="preserve">JC4880P443C</t>
  </si>
  <si>
    <t xml:space="preserve">Usato: sulla plancia inclinata D09</t>
  </si>
  <si>
    <t xml:space="preserve">Pompa</t>
  </si>
  <si>
    <t xml:space="preserve">Marco UP3-R</t>
  </si>
  <si>
    <t xml:space="preserve">Usata: sotto il cavalletto della tank. Tenerla a PWM basso e sciacquarla con acqua a fine lavoro (corpo in ottone nichelato)</t>
  </si>
  <si>
    <t xml:space="preserve">Elettrovalvola</t>
  </si>
  <si>
    <t xml:space="preserve">DC 12V Normally Close</t>
  </si>
  <si>
    <t xml:space="preserve">Usate tutte, in fila sul collettore C07. Da sinistra: C1, WB, C2, C3, scarico (i collegamenti elettrici non cambiano)</t>
  </si>
  <si>
    <t xml:space="preserve">Mosfet driver</t>
  </si>
  <si>
    <t xml:space="preserve">IRF540 V4.0</t>
  </si>
  <si>
    <t xml:space="preserve">NON usato per i riscaldatori: a 8,3 A per canale scalda troppo. Tenerlo di scorta</t>
  </si>
  <si>
    <t xml:space="preserve">Motor driver</t>
  </si>
  <si>
    <t xml:space="preserve">DC5-12V 0A-30A Dual channel H bridge</t>
  </si>
  <si>
    <t xml:space="preserve">Usato: canale A motore della spirale, canale B pompa</t>
  </si>
  <si>
    <t xml:space="preserve">Solenoid Driver</t>
  </si>
  <si>
    <t xml:space="preserve">MCP23017 GPIO</t>
  </si>
  <si>
    <t xml:space="preserve">Usato: valvole su A0-A4, riscaldatori su B6-B7</t>
  </si>
  <si>
    <t xml:space="preserve">Speaker</t>
  </si>
  <si>
    <t xml:space="preserve">Speaker 8ohm 2W</t>
  </si>
  <si>
    <t xml:space="preserve">Usato: dietro la griglia del fianco sinistro</t>
  </si>
  <si>
    <t xml:space="preserve">Motore agitatore</t>
  </si>
  <si>
    <t xml:space="preserve">JGB37-520 12V 20RPM</t>
  </si>
  <si>
    <t xml:space="preserve">Usato: nella galleria sotto il ripiano della tank, con cinghia tonda</t>
  </si>
  <si>
    <t xml:space="preserve">Portafusibile 15A</t>
  </si>
  <si>
    <t xml:space="preserve">Fusibile per riscaldatore</t>
  </si>
  <si>
    <t xml:space="preserve">Usati: uno per riscaldatore</t>
  </si>
  <si>
    <t xml:space="preserve">Riscaldatore</t>
  </si>
  <si>
    <t xml:space="preserve">100W 12V</t>
  </si>
  <si>
    <t xml:space="preserve">Usati: nella parete destra del bagno, vicino al fondo</t>
  </si>
  <si>
    <t xml:space="preserve">Convertitore 12V / 5V</t>
  </si>
  <si>
    <t xml:space="preserve">LM2596S</t>
  </si>
  <si>
    <t xml:space="preserve">Usato: scheda display, sensori di livello, servo</t>
  </si>
  <si>
    <t xml:space="preserve">Cavo Flat</t>
  </si>
  <si>
    <t xml:space="preserve">Cavo flat grigio 2x13 20cm</t>
  </si>
  <si>
    <t xml:space="preserve">Usato: dal display alla breakout</t>
  </si>
  <si>
    <t xml:space="preserve">Breakout board</t>
  </si>
  <si>
    <t xml:space="preserve">DC3 26 p 2x13Pins</t>
  </si>
  <si>
    <t xml:space="preserve">Usata: sul secondo ripiano</t>
  </si>
  <si>
    <t xml:space="preserve">Sensore hall</t>
  </si>
  <si>
    <t xml:space="preserve">KY-003 A3144</t>
  </si>
  <si>
    <t xml:space="preserve">Usato: sulla staffa B25, davanti alla ruota magneti</t>
  </si>
  <si>
    <t xml:space="preserve">Sensore flusso</t>
  </si>
  <si>
    <t xml:space="preserve">YF-S201 12V</t>
  </si>
  <si>
    <t xml:space="preserve">Non usato: serve solo con l'ingresso acqua in pressione</t>
  </si>
  <si>
    <t xml:space="preserve">Sensore livello</t>
  </si>
  <si>
    <t xml:space="preserve">XKC-Y21 5V</t>
  </si>
  <si>
    <t xml:space="preserve">Usati 2 (MIN e MAX del bagno); gli altri 6 restano di scorta: sulle vaschette estraibili non servono</t>
  </si>
  <si>
    <t xml:space="preserve">Sensore temperatura</t>
  </si>
  <si>
    <t xml:space="preserve">DS18B20 30mm 1m</t>
  </si>
  <si>
    <t xml:space="preserve">Usati: uno nel bagno (portasonde C06), uno nella vaschetta C1</t>
  </si>
  <si>
    <t xml:space="preserve">TOTALE già speso</t>
  </si>
  <si>
    <t xml:space="preserve">Pezzi da stampare (file in stl/ e step/, già nell'orientamento di stampa)</t>
  </si>
  <si>
    <t xml:space="preserve">Ipotesi per la stima del filamento (celle in blu, modificabili):</t>
  </si>
  <si>
    <t xml:space="preserve">Densità PETG (g/cm3)</t>
  </si>
  <si>
    <t xml:space="preserve">Quota di materiale rispetto al pieno (pareti + riempimento 25 %)</t>
  </si>
  <si>
    <t xml:space="preserve">Pezzo</t>
  </si>
  <si>
    <t xml:space="preserve">Volume pieno (cm3)</t>
  </si>
  <si>
    <t xml:space="preserve">Volume totale (cm3)</t>
  </si>
  <si>
    <t xml:space="preserve">Ingombro X (mm)</t>
  </si>
  <si>
    <t xml:space="preserve">Ingombro Y (mm)</t>
  </si>
  <si>
    <t xml:space="preserve">Altezza di stampa Z (mm)</t>
  </si>
  <si>
    <t xml:space="preserve">Note di stampa</t>
  </si>
  <si>
    <t xml:space="preserve">A01_flangia_A</t>
  </si>
  <si>
    <t xml:space="preserve">A02_flangia_B</t>
  </si>
  <si>
    <t xml:space="preserve">A03_tubo_baionetta</t>
  </si>
  <si>
    <t xml:space="preserve">A04_tamburo</t>
  </si>
  <si>
    <t xml:space="preserve">A05_anello_alette</t>
  </si>
  <si>
    <t xml:space="preserve">A06_anello_alette_variante_B</t>
  </si>
  <si>
    <t xml:space="preserve">facoltativo: alette concordi</t>
  </si>
  <si>
    <t xml:space="preserve">A07_clip_ganascia</t>
  </si>
  <si>
    <t xml:space="preserve">A08_clip_cursore</t>
  </si>
  <si>
    <t xml:space="preserve">A09_provino_accoppiamento</t>
  </si>
  <si>
    <t xml:space="preserve">da stampare per primo: sceglie il gioco della baionetta</t>
  </si>
  <si>
    <t xml:space="preserve">B01_corpo_tank</t>
  </si>
  <si>
    <t xml:space="preserve">in piedi, senza supporti</t>
  </si>
  <si>
    <t xml:space="preserve">B02_coperchio_tank</t>
  </si>
  <si>
    <t xml:space="preserve">capovolto</t>
  </si>
  <si>
    <t xml:space="preserve">B03_coperchietto_vano_servo</t>
  </si>
  <si>
    <t xml:space="preserve">B04_blocco_ponte_DX</t>
  </si>
  <si>
    <t xml:space="preserve">B05_blocco_ponte_SX</t>
  </si>
  <si>
    <t xml:space="preserve">B06_tetto_ponte</t>
  </si>
  <si>
    <t xml:space="preserve">B07_portalama</t>
  </si>
  <si>
    <t xml:space="preserve">B08_morsetto_lama_DX</t>
  </si>
  <si>
    <t xml:space="preserve">B09_morsetto_lama_SX</t>
  </si>
  <si>
    <t xml:space="preserve">B10_biella</t>
  </si>
  <si>
    <t xml:space="preserve">B11_manovella</t>
  </si>
  <si>
    <t xml:space="preserve">B12_culla_universale</t>
  </si>
  <si>
    <t xml:space="preserve">un solo pezzo per caricatore 135 e rullo 120</t>
  </si>
  <si>
    <t xml:space="preserve">B13_barra_guida</t>
  </si>
  <si>
    <t xml:space="preserve">B14_slitta_DX</t>
  </si>
  <si>
    <t xml:space="preserve">capovolta</t>
  </si>
  <si>
    <t xml:space="preserve">B15_slitta_SX</t>
  </si>
  <si>
    <t xml:space="preserve">B16_trascinatore</t>
  </si>
  <si>
    <t xml:space="preserve">B17_cartuccia_cuscinetti</t>
  </si>
  <si>
    <t xml:space="preserve">supporti solo sotto la flangia</t>
  </si>
  <si>
    <t xml:space="preserve">B18_distanziale_paraolio</t>
  </si>
  <si>
    <t xml:space="preserve">B19_distanziale_cuscinetti</t>
  </si>
  <si>
    <t xml:space="preserve">B20_rasamento_puleggia</t>
  </si>
  <si>
    <t xml:space="preserve">B21_puleggia_spirale</t>
  </si>
  <si>
    <t xml:space="preserve">B22_puleggia_motore</t>
  </si>
  <si>
    <t xml:space="preserve">B23_piastra_motore</t>
  </si>
  <si>
    <t xml:space="preserve">B24_perno_folle</t>
  </si>
  <si>
    <t xml:space="preserve">B25_staffa_hall</t>
  </si>
  <si>
    <t xml:space="preserve">C01_sella_testina</t>
  </si>
  <si>
    <t xml:space="preserve">in piedi sui due blocchetti</t>
  </si>
  <si>
    <t xml:space="preserve">C02_culla_sifone</t>
  </si>
  <si>
    <t xml:space="preserve">col davanti sul piatto: la gola ha il cielo a capanna</t>
  </si>
  <si>
    <t xml:space="preserve">C03_staffa_ganci</t>
  </si>
  <si>
    <t xml:space="preserve">PETG: i due bracci sono molle</t>
  </si>
  <si>
    <t xml:space="preserve">C04_fermo_posteriore</t>
  </si>
  <si>
    <t xml:space="preserve">C05_testata_telaio_SX</t>
  </si>
  <si>
    <t xml:space="preserve">C05_testata_telaio_DX</t>
  </si>
  <si>
    <t xml:space="preserve">C06_portasonde</t>
  </si>
  <si>
    <t xml:space="preserve">C07_collettore</t>
  </si>
  <si>
    <t xml:space="preserve">4 perimetri, riempimento 100 %</t>
  </si>
  <si>
    <t xml:space="preserve">C08_pettine_valvole</t>
  </si>
  <si>
    <t xml:space="preserve">C09_staffa_scarichi</t>
  </si>
  <si>
    <t xml:space="preserve">C10_carter_riscaldatori</t>
  </si>
  <si>
    <t xml:space="preserve">D01_piano_cavalletto</t>
  </si>
  <si>
    <t xml:space="preserve">D02_fianco_cavalletto_SX</t>
  </si>
  <si>
    <t xml:space="preserve">D03_fianco_cavalletto_DX</t>
  </si>
  <si>
    <t xml:space="preserve">D04_frontale_cavalletto</t>
  </si>
  <si>
    <t xml:space="preserve">D05_carter_trasmissione</t>
  </si>
  <si>
    <t xml:space="preserve">D06_fianco_elettronica_SX</t>
  </si>
  <si>
    <t xml:space="preserve">D07_fianco_elettronica_DX</t>
  </si>
  <si>
    <t xml:space="preserve">D08_frontale_elettronica</t>
  </si>
  <si>
    <t xml:space="preserve">D09_plancia_display</t>
  </si>
  <si>
    <t xml:space="preserve">faccia esterna sul piatto</t>
  </si>
  <si>
    <t xml:space="preserve">D10_tetto_elettronica</t>
  </si>
  <si>
    <t xml:space="preserve">D11_paratia_posteriore</t>
  </si>
  <si>
    <t xml:space="preserve">D12_ripiano_griglia</t>
  </si>
  <si>
    <t xml:space="preserve">D13_colonnina_bassa</t>
  </si>
  <si>
    <t xml:space="preserve">D14_colonnina_alta</t>
  </si>
  <si>
    <t xml:space="preserve">D15_morsetto_scheda</t>
  </si>
  <si>
    <t xml:space="preserve">D16_zoccolo_alimentatore</t>
  </si>
  <si>
    <t xml:space="preserve">D17_linguetta_display</t>
  </si>
  <si>
    <t xml:space="preserve">tengono la scheda display: si possono ruotare</t>
  </si>
  <si>
    <t xml:space="preserve">TOTALE</t>
  </si>
  <si>
    <t xml:space="preserve">Filamento stimato (kg)</t>
  </si>
  <si>
    <t xml:space="preserve">Ingombro massimo sul piatto (mm)</t>
  </si>
  <si>
    <t xml:space="preserve">Viteria: dove va ogni vite</t>
  </si>
  <si>
    <t xml:space="preserve">Le viti autofilettanti da 3 mm entrano nei fori Ø2,6 dei pezzi stampati; le lunghezze sono verificate sul modello (verifiche.txt, check_screws.py). Le quantità per tipo sono sommate a destra.</t>
  </si>
  <si>
    <t xml:space="preserve">Tipo</t>
  </si>
  <si>
    <t xml:space="preserve">Dove</t>
  </si>
  <si>
    <t xml:space="preserve">Totale</t>
  </si>
  <si>
    <t xml:space="preserve">Vite autofilettante 3 x 10</t>
  </si>
  <si>
    <t xml:space="preserve">blocchi ponte sul ripiano della tank</t>
  </si>
  <si>
    <t xml:space="preserve">Vite autofilettante 3 x 16</t>
  </si>
  <si>
    <t xml:space="preserve">tetto del ponte</t>
  </si>
  <si>
    <t xml:space="preserve">culla universale</t>
  </si>
  <si>
    <t xml:space="preserve">Vite M2 x 6 autofilettante</t>
  </si>
  <si>
    <t xml:space="preserve">morsetti delle lame</t>
  </si>
  <si>
    <t xml:space="preserve">Vite M2 x 8 (del servo)</t>
  </si>
  <si>
    <t xml:space="preserve">alette del servo</t>
  </si>
  <si>
    <t xml:space="preserve">Vite M2,5 x 8</t>
  </si>
  <si>
    <t xml:space="preserve">perno di manovella</t>
  </si>
  <si>
    <t xml:space="preserve">Spina Ø3 x 8 (o vite M3 x 10)</t>
  </si>
  <si>
    <t xml:space="preserve">spinotto biella-portalama</t>
  </si>
  <si>
    <t xml:space="preserve">Vite autofilettante 3 x 8</t>
  </si>
  <si>
    <t xml:space="preserve">coperchietto del vano servo</t>
  </si>
  <si>
    <t xml:space="preserve">Vite M3 x 8</t>
  </si>
  <si>
    <t xml:space="preserve">flangia della cartuccia</t>
  </si>
  <si>
    <t xml:space="preserve">Grano M3 x 6 + dado M3</t>
  </si>
  <si>
    <t xml:space="preserve">flangia della cartuccia, nel punto che regge anche la staffa Hall</t>
  </si>
  <si>
    <t xml:space="preserve">Vite M3 x 10</t>
  </si>
  <si>
    <t xml:space="preserve">piastra del motore</t>
  </si>
  <si>
    <t xml:space="preserve">Vite M3 x 5 (o una fascetta)</t>
  </si>
  <si>
    <t xml:space="preserve">motoriduttore sulla piastra: nel riduttore entrano 4 mm; se i suoi fori sono meno profondi usare M3 x 6</t>
  </si>
  <si>
    <t xml:space="preserve">Vite per lamiera 2,9 x 9,5</t>
  </si>
  <si>
    <t xml:space="preserve">trascinatore e due pulegge</t>
  </si>
  <si>
    <t xml:space="preserve">Vite per lamiera 2,9 x 13</t>
  </si>
  <si>
    <t xml:space="preserve">ritegno del perno folle</t>
  </si>
  <si>
    <t xml:space="preserve">Vite M4 x 12</t>
  </si>
  <si>
    <t xml:space="preserve">modulo Hall sulla staffa B25: piu' lunga toccherebbe il carter</t>
  </si>
  <si>
    <t xml:space="preserve">Vite da legno 3,5 x 12</t>
  </si>
  <si>
    <t xml:space="preserve">piedini della tank sul cavalletto</t>
  </si>
  <si>
    <t xml:space="preserve">Vite da legno 3,5 x 20</t>
  </si>
  <si>
    <t xml:space="preserve">staffe con ganci C03 sul longherone anteriore</t>
  </si>
  <si>
    <t xml:space="preserve">Barra filettata M3 x 130 + 2 dadi</t>
  </si>
  <si>
    <t xml:space="preserve">culle del sifone C02 sulle staffe C03, da dietro</t>
  </si>
  <si>
    <t xml:space="preserve">Vite M3 x 16 + dado</t>
  </si>
  <si>
    <t xml:space="preserve">fermi posteriori C04 (spessi 7 mm)</t>
  </si>
  <si>
    <t xml:space="preserve">Totale viti</t>
  </si>
  <si>
    <t xml:space="preserve">portasonde C06</t>
  </si>
  <si>
    <t xml:space="preserve">testate del telaio C05</t>
  </si>
  <si>
    <t xml:space="preserve">collettore C07</t>
  </si>
  <si>
    <t xml:space="preserve">pettine valvole C08</t>
  </si>
  <si>
    <t xml:space="preserve">staffa scarichi C09</t>
  </si>
  <si>
    <t xml:space="preserve">carter riscaldatori C10</t>
  </si>
  <si>
    <t xml:space="preserve">fianchi del cavalletto</t>
  </si>
  <si>
    <t xml:space="preserve">piede della pompa: scegliere la lunghezza secondo i piedini, senza passare la base da 12 mm</t>
  </si>
  <si>
    <t xml:space="preserve">piano del cavalletto sui fianchi</t>
  </si>
  <si>
    <t xml:space="preserve">frontale del cavalletto</t>
  </si>
  <si>
    <t xml:space="preserve">carter della trasmissione</t>
  </si>
  <si>
    <t xml:space="preserve">fianchi del vano elettronica</t>
  </si>
  <si>
    <t xml:space="preserve">frontale del vano elettronica</t>
  </si>
  <si>
    <t xml:space="preserve">paratia posteriore</t>
  </si>
  <si>
    <t xml:space="preserve">tetto</t>
  </si>
  <si>
    <t xml:space="preserve">plancia del display</t>
  </si>
  <si>
    <t xml:space="preserve">linguette D17 che tengono la scheda display</t>
  </si>
  <si>
    <t xml:space="preserve">colonnine basse (ripiano inferiore)</t>
  </si>
  <si>
    <t xml:space="preserve">zoccolo dell'alimentatore</t>
  </si>
  <si>
    <t xml:space="preserve">colonna dei ripiani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</si>
</sst>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&quot; €&quot;"/>
    <numFmt numFmtId="166" formatCode="0.0"/>
    <numFmt numFmtId="167" formatCode="General"/>
    <numFmt numFmtId="168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B3261E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E8EEF5"/>
      </patternFill>
    </fill>
    <fill>
      <patternFill patternType="solid">
        <fgColor rgb="FFE8EE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8EE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B326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38"/>
    <col collapsed="false" customWidth="true" hidden="false" outlineLevel="0" max="6" min="5" style="0" width="7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38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1" t="s">
        <v>0</v>
      </c>
    </row>
    <row r="2" customFormat="false" ht="3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35.05" hidden="false" customHeight="false" outlineLevel="0" collapsed="false">
      <c r="A5" s="4" t="n">
        <v>1</v>
      </c>
      <c r="B5" s="5" t="s">
        <v>12</v>
      </c>
      <c r="C5" s="6" t="s">
        <v>13</v>
      </c>
      <c r="D5" s="5" t="s">
        <v>14</v>
      </c>
      <c r="E5" s="7" t="n">
        <v>1</v>
      </c>
      <c r="F5" s="4" t="s">
        <v>15</v>
      </c>
      <c r="G5" s="8" t="n">
        <v>15</v>
      </c>
      <c r="H5" s="9" t="n">
        <f aca="false">E5*G5</f>
        <v>15</v>
      </c>
      <c r="I5" s="5" t="s">
        <v>16</v>
      </c>
      <c r="J5" s="5" t="s">
        <v>17</v>
      </c>
    </row>
    <row r="6" customFormat="false" ht="23.85" hidden="false" customHeight="false" outlineLevel="0" collapsed="false">
      <c r="A6" s="4" t="n">
        <v>2</v>
      </c>
      <c r="B6" s="5" t="s">
        <v>12</v>
      </c>
      <c r="C6" s="6" t="s">
        <v>18</v>
      </c>
      <c r="D6" s="5" t="s">
        <v>19</v>
      </c>
      <c r="E6" s="7" t="n">
        <v>3</v>
      </c>
      <c r="F6" s="4" t="s">
        <v>15</v>
      </c>
      <c r="G6" s="8" t="n">
        <v>8</v>
      </c>
      <c r="H6" s="9" t="n">
        <f aca="false">E6*G6</f>
        <v>24</v>
      </c>
      <c r="I6" s="5" t="s">
        <v>20</v>
      </c>
      <c r="J6" s="5" t="s">
        <v>21</v>
      </c>
    </row>
    <row r="7" customFormat="false" ht="23.85" hidden="false" customHeight="false" outlineLevel="0" collapsed="false">
      <c r="A7" s="4" t="n">
        <v>3</v>
      </c>
      <c r="B7" s="5" t="s">
        <v>12</v>
      </c>
      <c r="C7" s="6" t="s">
        <v>22</v>
      </c>
      <c r="D7" s="5" t="s">
        <v>23</v>
      </c>
      <c r="E7" s="7" t="n">
        <v>1</v>
      </c>
      <c r="F7" s="4" t="s">
        <v>15</v>
      </c>
      <c r="G7" s="8" t="n">
        <v>5</v>
      </c>
      <c r="H7" s="9" t="n">
        <f aca="false">E7*G7</f>
        <v>5</v>
      </c>
      <c r="I7" s="5" t="s">
        <v>24</v>
      </c>
      <c r="J7" s="5"/>
    </row>
    <row r="8" customFormat="false" ht="23.85" hidden="false" customHeight="false" outlineLevel="0" collapsed="false">
      <c r="A8" s="4" t="n">
        <v>4</v>
      </c>
      <c r="B8" s="5" t="s">
        <v>12</v>
      </c>
      <c r="C8" s="6" t="s">
        <v>25</v>
      </c>
      <c r="D8" s="5" t="s">
        <v>26</v>
      </c>
      <c r="E8" s="7" t="n">
        <v>2</v>
      </c>
      <c r="F8" s="4" t="s">
        <v>27</v>
      </c>
      <c r="G8" s="8" t="n">
        <v>3</v>
      </c>
      <c r="H8" s="9" t="n">
        <f aca="false">E8*G8</f>
        <v>6</v>
      </c>
      <c r="I8" s="5" t="s">
        <v>28</v>
      </c>
      <c r="J8" s="5" t="s">
        <v>29</v>
      </c>
    </row>
    <row r="9" customFormat="false" ht="23.85" hidden="false" customHeight="false" outlineLevel="0" collapsed="false">
      <c r="A9" s="4" t="n">
        <v>5</v>
      </c>
      <c r="B9" s="5" t="s">
        <v>12</v>
      </c>
      <c r="C9" s="6" t="s">
        <v>30</v>
      </c>
      <c r="D9" s="5"/>
      <c r="E9" s="7" t="n">
        <v>2</v>
      </c>
      <c r="F9" s="4" t="s">
        <v>15</v>
      </c>
      <c r="G9" s="8" t="n">
        <v>1.5</v>
      </c>
      <c r="H9" s="9" t="n">
        <f aca="false">E9*G9</f>
        <v>3</v>
      </c>
      <c r="I9" s="5" t="s">
        <v>31</v>
      </c>
      <c r="J9" s="5" t="s">
        <v>32</v>
      </c>
    </row>
    <row r="10" customFormat="false" ht="23.85" hidden="false" customHeight="false" outlineLevel="0" collapsed="false">
      <c r="A10" s="4" t="n">
        <v>6</v>
      </c>
      <c r="B10" s="5" t="s">
        <v>12</v>
      </c>
      <c r="C10" s="6" t="s">
        <v>33</v>
      </c>
      <c r="D10" s="5" t="s">
        <v>34</v>
      </c>
      <c r="E10" s="7" t="n">
        <v>1</v>
      </c>
      <c r="F10" s="4" t="s">
        <v>15</v>
      </c>
      <c r="G10" s="8" t="n">
        <v>3</v>
      </c>
      <c r="H10" s="9" t="n">
        <f aca="false">E10*G10</f>
        <v>3</v>
      </c>
      <c r="I10" s="5" t="s">
        <v>35</v>
      </c>
      <c r="J10" s="5"/>
    </row>
    <row r="11" customFormat="false" ht="23.85" hidden="false" customHeight="false" outlineLevel="0" collapsed="false">
      <c r="A11" s="4" t="n">
        <v>7</v>
      </c>
      <c r="B11" s="5" t="s">
        <v>36</v>
      </c>
      <c r="C11" s="6" t="s">
        <v>37</v>
      </c>
      <c r="D11" s="5" t="s">
        <v>38</v>
      </c>
      <c r="E11" s="7" t="n">
        <v>1</v>
      </c>
      <c r="F11" s="4" t="s">
        <v>15</v>
      </c>
      <c r="G11" s="8" t="n">
        <v>8</v>
      </c>
      <c r="H11" s="9" t="n">
        <f aca="false">E11*G11</f>
        <v>8</v>
      </c>
      <c r="I11" s="5" t="s">
        <v>39</v>
      </c>
      <c r="J11" s="5"/>
    </row>
    <row r="12" customFormat="false" ht="23.85" hidden="false" customHeight="false" outlineLevel="0" collapsed="false">
      <c r="A12" s="4" t="n">
        <v>8</v>
      </c>
      <c r="B12" s="5" t="s">
        <v>36</v>
      </c>
      <c r="C12" s="6" t="s">
        <v>40</v>
      </c>
      <c r="D12" s="5" t="s">
        <v>41</v>
      </c>
      <c r="E12" s="7" t="n">
        <v>10</v>
      </c>
      <c r="F12" s="4" t="s">
        <v>15</v>
      </c>
      <c r="G12" s="8" t="n">
        <v>0.7</v>
      </c>
      <c r="H12" s="9" t="n">
        <f aca="false">E12*G12</f>
        <v>7</v>
      </c>
      <c r="I12" s="5" t="s">
        <v>42</v>
      </c>
      <c r="J12" s="5" t="s">
        <v>43</v>
      </c>
    </row>
    <row r="13" customFormat="false" ht="23.85" hidden="false" customHeight="false" outlineLevel="0" collapsed="false">
      <c r="A13" s="4" t="n">
        <v>9</v>
      </c>
      <c r="B13" s="5" t="s">
        <v>36</v>
      </c>
      <c r="C13" s="6" t="s">
        <v>44</v>
      </c>
      <c r="D13" s="5" t="s">
        <v>45</v>
      </c>
      <c r="E13" s="7" t="n">
        <v>2</v>
      </c>
      <c r="F13" s="4" t="s">
        <v>15</v>
      </c>
      <c r="G13" s="8" t="n">
        <v>1.5</v>
      </c>
      <c r="H13" s="9" t="n">
        <f aca="false">E13*G13</f>
        <v>3</v>
      </c>
      <c r="I13" s="5" t="s">
        <v>46</v>
      </c>
      <c r="J13" s="5" t="s">
        <v>47</v>
      </c>
    </row>
    <row r="14" customFormat="false" ht="23.85" hidden="false" customHeight="false" outlineLevel="0" collapsed="false">
      <c r="A14" s="4" t="n">
        <v>10</v>
      </c>
      <c r="B14" s="5" t="s">
        <v>36</v>
      </c>
      <c r="C14" s="6" t="s">
        <v>48</v>
      </c>
      <c r="D14" s="5"/>
      <c r="E14" s="7" t="n">
        <v>2</v>
      </c>
      <c r="F14" s="4" t="s">
        <v>15</v>
      </c>
      <c r="G14" s="8" t="n">
        <v>1.5</v>
      </c>
      <c r="H14" s="9" t="n">
        <f aca="false">E14*G14</f>
        <v>3</v>
      </c>
      <c r="I14" s="5" t="s">
        <v>49</v>
      </c>
      <c r="J14" s="5" t="s">
        <v>50</v>
      </c>
    </row>
    <row r="15" customFormat="false" ht="15" hidden="false" customHeight="false" outlineLevel="0" collapsed="false">
      <c r="A15" s="4" t="n">
        <v>11</v>
      </c>
      <c r="B15" s="5" t="s">
        <v>36</v>
      </c>
      <c r="C15" s="6" t="s">
        <v>51</v>
      </c>
      <c r="D15" s="5" t="s">
        <v>52</v>
      </c>
      <c r="E15" s="7" t="n">
        <v>1</v>
      </c>
      <c r="F15" s="4" t="s">
        <v>15</v>
      </c>
      <c r="G15" s="8" t="n">
        <v>2</v>
      </c>
      <c r="H15" s="9" t="n">
        <f aca="false">E15*G15</f>
        <v>2</v>
      </c>
      <c r="I15" s="5" t="s">
        <v>53</v>
      </c>
      <c r="J15" s="5"/>
    </row>
    <row r="16" customFormat="false" ht="23.85" hidden="false" customHeight="false" outlineLevel="0" collapsed="false">
      <c r="A16" s="4" t="n">
        <v>12</v>
      </c>
      <c r="B16" s="5" t="s">
        <v>36</v>
      </c>
      <c r="C16" s="6" t="s">
        <v>54</v>
      </c>
      <c r="D16" s="5"/>
      <c r="E16" s="7" t="n">
        <v>1</v>
      </c>
      <c r="F16" s="4" t="s">
        <v>27</v>
      </c>
      <c r="G16" s="8" t="n">
        <v>4</v>
      </c>
      <c r="H16" s="9" t="n">
        <f aca="false">E16*G16</f>
        <v>4</v>
      </c>
      <c r="I16" s="5" t="s">
        <v>55</v>
      </c>
      <c r="J16" s="5" t="s">
        <v>56</v>
      </c>
    </row>
    <row r="17" customFormat="false" ht="23.85" hidden="false" customHeight="false" outlineLevel="0" collapsed="false">
      <c r="A17" s="4" t="n">
        <v>13</v>
      </c>
      <c r="B17" s="5" t="s">
        <v>36</v>
      </c>
      <c r="C17" s="6" t="s">
        <v>57</v>
      </c>
      <c r="D17" s="5" t="s">
        <v>58</v>
      </c>
      <c r="E17" s="7" t="n">
        <v>1</v>
      </c>
      <c r="F17" s="4" t="s">
        <v>15</v>
      </c>
      <c r="G17" s="8" t="n">
        <v>9</v>
      </c>
      <c r="H17" s="9" t="n">
        <f aca="false">E17*G17</f>
        <v>9</v>
      </c>
      <c r="I17" s="5" t="s">
        <v>59</v>
      </c>
      <c r="J17" s="5" t="s">
        <v>60</v>
      </c>
    </row>
    <row r="18" customFormat="false" ht="15" hidden="false" customHeight="false" outlineLevel="0" collapsed="false">
      <c r="A18" s="4" t="n">
        <v>14</v>
      </c>
      <c r="B18" s="5" t="s">
        <v>36</v>
      </c>
      <c r="C18" s="6" t="s">
        <v>61</v>
      </c>
      <c r="D18" s="5"/>
      <c r="E18" s="7" t="n">
        <v>10</v>
      </c>
      <c r="F18" s="4" t="s">
        <v>15</v>
      </c>
      <c r="G18" s="8" t="n">
        <v>0.2</v>
      </c>
      <c r="H18" s="9" t="n">
        <f aca="false">E18*G18</f>
        <v>2</v>
      </c>
      <c r="I18" s="5" t="s">
        <v>62</v>
      </c>
      <c r="J18" s="5" t="s">
        <v>63</v>
      </c>
    </row>
    <row r="19" customFormat="false" ht="15" hidden="false" customHeight="false" outlineLevel="0" collapsed="false">
      <c r="A19" s="4" t="n">
        <v>15</v>
      </c>
      <c r="B19" s="5" t="s">
        <v>36</v>
      </c>
      <c r="C19" s="6" t="s">
        <v>64</v>
      </c>
      <c r="D19" s="5" t="s">
        <v>65</v>
      </c>
      <c r="E19" s="7" t="n">
        <v>1</v>
      </c>
      <c r="F19" s="4" t="s">
        <v>66</v>
      </c>
      <c r="G19" s="8" t="n">
        <v>3</v>
      </c>
      <c r="H19" s="9" t="n">
        <f aca="false">E19*G19</f>
        <v>3</v>
      </c>
      <c r="I19" s="5" t="s">
        <v>67</v>
      </c>
      <c r="J19" s="5"/>
    </row>
    <row r="20" customFormat="false" ht="15" hidden="false" customHeight="false" outlineLevel="0" collapsed="false">
      <c r="A20" s="4" t="n">
        <v>16</v>
      </c>
      <c r="B20" s="5" t="s">
        <v>36</v>
      </c>
      <c r="C20" s="6" t="s">
        <v>68</v>
      </c>
      <c r="D20" s="5" t="s">
        <v>69</v>
      </c>
      <c r="E20" s="7" t="n">
        <v>1</v>
      </c>
      <c r="F20" s="4" t="s">
        <v>15</v>
      </c>
      <c r="G20" s="8" t="n">
        <v>5</v>
      </c>
      <c r="H20" s="9" t="n">
        <f aca="false">E20*G20</f>
        <v>5</v>
      </c>
      <c r="I20" s="5" t="s">
        <v>70</v>
      </c>
      <c r="J20" s="5"/>
    </row>
    <row r="21" customFormat="false" ht="23.85" hidden="false" customHeight="false" outlineLevel="0" collapsed="false">
      <c r="A21" s="4" t="n">
        <v>17</v>
      </c>
      <c r="B21" s="5" t="s">
        <v>71</v>
      </c>
      <c r="C21" s="6" t="s">
        <v>72</v>
      </c>
      <c r="D21" s="5" t="s">
        <v>73</v>
      </c>
      <c r="E21" s="7" t="n">
        <v>1</v>
      </c>
      <c r="F21" s="4" t="s">
        <v>15</v>
      </c>
      <c r="G21" s="8" t="n">
        <v>4</v>
      </c>
      <c r="H21" s="9" t="n">
        <f aca="false">E21*G21</f>
        <v>4</v>
      </c>
      <c r="I21" s="5" t="s">
        <v>74</v>
      </c>
      <c r="J21" s="5"/>
    </row>
    <row r="22" customFormat="false" ht="15" hidden="false" customHeight="false" outlineLevel="0" collapsed="false">
      <c r="A22" s="4" t="n">
        <v>18</v>
      </c>
      <c r="B22" s="5" t="s">
        <v>71</v>
      </c>
      <c r="C22" s="6" t="s">
        <v>75</v>
      </c>
      <c r="D22" s="5" t="s">
        <v>76</v>
      </c>
      <c r="E22" s="7" t="n">
        <v>2</v>
      </c>
      <c r="F22" s="4" t="s">
        <v>15</v>
      </c>
      <c r="G22" s="8" t="n">
        <v>2.5</v>
      </c>
      <c r="H22" s="9" t="n">
        <f aca="false">E22*G22</f>
        <v>5</v>
      </c>
      <c r="I22" s="5" t="s">
        <v>77</v>
      </c>
      <c r="J22" s="5"/>
    </row>
    <row r="23" customFormat="false" ht="15" hidden="false" customHeight="false" outlineLevel="0" collapsed="false">
      <c r="A23" s="4" t="n">
        <v>19</v>
      </c>
      <c r="B23" s="5" t="s">
        <v>71</v>
      </c>
      <c r="C23" s="6" t="s">
        <v>78</v>
      </c>
      <c r="D23" s="5" t="s">
        <v>79</v>
      </c>
      <c r="E23" s="7" t="n">
        <v>1</v>
      </c>
      <c r="F23" s="4" t="s">
        <v>15</v>
      </c>
      <c r="G23" s="8" t="n">
        <v>2</v>
      </c>
      <c r="H23" s="9" t="n">
        <f aca="false">E23*G23</f>
        <v>2</v>
      </c>
      <c r="I23" s="5" t="s">
        <v>80</v>
      </c>
      <c r="J23" s="5"/>
    </row>
    <row r="24" customFormat="false" ht="15" hidden="false" customHeight="false" outlineLevel="0" collapsed="false">
      <c r="A24" s="4" t="n">
        <v>20</v>
      </c>
      <c r="B24" s="5" t="s">
        <v>71</v>
      </c>
      <c r="C24" s="6" t="s">
        <v>81</v>
      </c>
      <c r="D24" s="5"/>
      <c r="E24" s="7" t="n">
        <v>1</v>
      </c>
      <c r="F24" s="4" t="s">
        <v>15</v>
      </c>
      <c r="G24" s="8" t="n">
        <v>0.2</v>
      </c>
      <c r="H24" s="9" t="n">
        <f aca="false">E24*G24</f>
        <v>0.2</v>
      </c>
      <c r="I24" s="5" t="s">
        <v>82</v>
      </c>
      <c r="J24" s="5"/>
    </row>
    <row r="25" customFormat="false" ht="15" hidden="false" customHeight="false" outlineLevel="0" collapsed="false">
      <c r="A25" s="4" t="n">
        <v>21</v>
      </c>
      <c r="B25" s="5" t="s">
        <v>71</v>
      </c>
      <c r="C25" s="6" t="s">
        <v>83</v>
      </c>
      <c r="D25" s="5"/>
      <c r="E25" s="7" t="n">
        <v>1</v>
      </c>
      <c r="F25" s="4" t="s">
        <v>15</v>
      </c>
      <c r="G25" s="8" t="n">
        <v>0.3</v>
      </c>
      <c r="H25" s="9" t="n">
        <f aca="false">E25*G25</f>
        <v>0.3</v>
      </c>
      <c r="I25" s="5" t="s">
        <v>84</v>
      </c>
      <c r="J25" s="5"/>
    </row>
    <row r="26" customFormat="false" ht="15" hidden="false" customHeight="false" outlineLevel="0" collapsed="false">
      <c r="A26" s="4" t="n">
        <v>22</v>
      </c>
      <c r="B26" s="5" t="s">
        <v>71</v>
      </c>
      <c r="C26" s="6" t="s">
        <v>85</v>
      </c>
      <c r="D26" s="5"/>
      <c r="E26" s="7" t="n">
        <v>2</v>
      </c>
      <c r="F26" s="4" t="s">
        <v>15</v>
      </c>
      <c r="G26" s="8" t="n">
        <v>1</v>
      </c>
      <c r="H26" s="9" t="n">
        <f aca="false">E26*G26</f>
        <v>2</v>
      </c>
      <c r="I26" s="5" t="s">
        <v>86</v>
      </c>
      <c r="J26" s="5" t="s">
        <v>87</v>
      </c>
    </row>
    <row r="27" customFormat="false" ht="15" hidden="false" customHeight="false" outlineLevel="0" collapsed="false">
      <c r="A27" s="4" t="n">
        <v>23</v>
      </c>
      <c r="B27" s="5" t="s">
        <v>71</v>
      </c>
      <c r="C27" s="6" t="s">
        <v>88</v>
      </c>
      <c r="D27" s="5" t="s">
        <v>89</v>
      </c>
      <c r="E27" s="7" t="n">
        <v>1</v>
      </c>
      <c r="F27" s="4" t="s">
        <v>66</v>
      </c>
      <c r="G27" s="8" t="n">
        <v>3</v>
      </c>
      <c r="H27" s="9" t="n">
        <f aca="false">E27*G27</f>
        <v>3</v>
      </c>
      <c r="I27" s="5" t="s">
        <v>90</v>
      </c>
      <c r="J27" s="5"/>
    </row>
    <row r="28" customFormat="false" ht="15" hidden="false" customHeight="false" outlineLevel="0" collapsed="false">
      <c r="A28" s="4" t="n">
        <v>24</v>
      </c>
      <c r="B28" s="5" t="s">
        <v>71</v>
      </c>
      <c r="C28" s="6" t="s">
        <v>91</v>
      </c>
      <c r="D28" s="5"/>
      <c r="E28" s="7" t="n">
        <v>1</v>
      </c>
      <c r="F28" s="4" t="s">
        <v>15</v>
      </c>
      <c r="G28" s="8" t="n">
        <v>1</v>
      </c>
      <c r="H28" s="9" t="n">
        <f aca="false">E28*G28</f>
        <v>1</v>
      </c>
      <c r="I28" s="5" t="s">
        <v>92</v>
      </c>
      <c r="J28" s="5"/>
    </row>
    <row r="29" customFormat="false" ht="15" hidden="false" customHeight="false" outlineLevel="0" collapsed="false">
      <c r="A29" s="4" t="n">
        <v>25</v>
      </c>
      <c r="B29" s="5" t="s">
        <v>71</v>
      </c>
      <c r="C29" s="6" t="s">
        <v>93</v>
      </c>
      <c r="D29" s="5" t="s">
        <v>94</v>
      </c>
      <c r="E29" s="7" t="n">
        <v>1</v>
      </c>
      <c r="F29" s="4" t="s">
        <v>15</v>
      </c>
      <c r="G29" s="8" t="n">
        <v>4</v>
      </c>
      <c r="H29" s="9" t="n">
        <f aca="false">E29*G29</f>
        <v>4</v>
      </c>
      <c r="I29" s="5" t="s">
        <v>95</v>
      </c>
      <c r="J29" s="5"/>
    </row>
    <row r="30" customFormat="false" ht="15" hidden="false" customHeight="false" outlineLevel="0" collapsed="false">
      <c r="A30" s="4" t="n">
        <v>26</v>
      </c>
      <c r="B30" s="5" t="s">
        <v>71</v>
      </c>
      <c r="C30" s="6" t="s">
        <v>96</v>
      </c>
      <c r="D30" s="5" t="s">
        <v>97</v>
      </c>
      <c r="E30" s="7" t="n">
        <v>1</v>
      </c>
      <c r="F30" s="4" t="s">
        <v>66</v>
      </c>
      <c r="G30" s="8" t="n">
        <v>2</v>
      </c>
      <c r="H30" s="9" t="n">
        <f aca="false">E30*G30</f>
        <v>2</v>
      </c>
      <c r="I30" s="5" t="s">
        <v>98</v>
      </c>
      <c r="J30" s="5"/>
    </row>
    <row r="31" customFormat="false" ht="23.85" hidden="false" customHeight="false" outlineLevel="0" collapsed="false">
      <c r="A31" s="4" t="n">
        <v>27</v>
      </c>
      <c r="B31" s="5" t="s">
        <v>71</v>
      </c>
      <c r="C31" s="6" t="s">
        <v>99</v>
      </c>
      <c r="D31" s="5" t="s">
        <v>100</v>
      </c>
      <c r="E31" s="7" t="n">
        <v>1</v>
      </c>
      <c r="F31" s="4" t="s">
        <v>15</v>
      </c>
      <c r="G31" s="8" t="n">
        <v>4</v>
      </c>
      <c r="H31" s="9" t="n">
        <f aca="false">E31*G31</f>
        <v>4</v>
      </c>
      <c r="I31" s="5" t="s">
        <v>101</v>
      </c>
      <c r="J31" s="5" t="s">
        <v>102</v>
      </c>
    </row>
    <row r="32" customFormat="false" ht="23.85" hidden="false" customHeight="false" outlineLevel="0" collapsed="false">
      <c r="A32" s="4" t="n">
        <v>28</v>
      </c>
      <c r="B32" s="5" t="s">
        <v>103</v>
      </c>
      <c r="C32" s="6" t="s">
        <v>104</v>
      </c>
      <c r="D32" s="5" t="s">
        <v>105</v>
      </c>
      <c r="E32" s="7" t="n">
        <v>1</v>
      </c>
      <c r="F32" s="4" t="s">
        <v>15</v>
      </c>
      <c r="G32" s="8" t="n">
        <v>4</v>
      </c>
      <c r="H32" s="9" t="n">
        <f aca="false">E32*G32</f>
        <v>4</v>
      </c>
      <c r="I32" s="5" t="s">
        <v>106</v>
      </c>
      <c r="J32" s="5"/>
    </row>
    <row r="33" customFormat="false" ht="23.85" hidden="false" customHeight="false" outlineLevel="0" collapsed="false">
      <c r="A33" s="4" t="n">
        <v>29</v>
      </c>
      <c r="B33" s="5" t="s">
        <v>103</v>
      </c>
      <c r="C33" s="6" t="s">
        <v>107</v>
      </c>
      <c r="D33" s="5"/>
      <c r="E33" s="7" t="n">
        <v>1</v>
      </c>
      <c r="F33" s="4" t="s">
        <v>15</v>
      </c>
      <c r="G33" s="8" t="n">
        <v>4</v>
      </c>
      <c r="H33" s="9" t="n">
        <f aca="false">E33*G33</f>
        <v>4</v>
      </c>
      <c r="I33" s="5"/>
      <c r="J33" s="5"/>
    </row>
    <row r="34" customFormat="false" ht="23.85" hidden="false" customHeight="false" outlineLevel="0" collapsed="false">
      <c r="A34" s="4" t="n">
        <v>30</v>
      </c>
      <c r="B34" s="5" t="s">
        <v>103</v>
      </c>
      <c r="C34" s="6" t="s">
        <v>108</v>
      </c>
      <c r="D34" s="5"/>
      <c r="E34" s="7" t="n">
        <v>2</v>
      </c>
      <c r="F34" s="4" t="s">
        <v>15</v>
      </c>
      <c r="G34" s="8" t="n">
        <v>2.5</v>
      </c>
      <c r="H34" s="9" t="n">
        <f aca="false">E34*G34</f>
        <v>5</v>
      </c>
      <c r="I34" s="5" t="s">
        <v>109</v>
      </c>
      <c r="J34" s="5" t="s">
        <v>110</v>
      </c>
    </row>
    <row r="35" customFormat="false" ht="15" hidden="false" customHeight="false" outlineLevel="0" collapsed="false">
      <c r="A35" s="4" t="n">
        <v>31</v>
      </c>
      <c r="B35" s="5" t="s">
        <v>103</v>
      </c>
      <c r="C35" s="6" t="s">
        <v>111</v>
      </c>
      <c r="D35" s="5" t="s">
        <v>112</v>
      </c>
      <c r="E35" s="7" t="n">
        <v>2</v>
      </c>
      <c r="F35" s="4" t="s">
        <v>15</v>
      </c>
      <c r="G35" s="8" t="n">
        <v>1.5</v>
      </c>
      <c r="H35" s="9" t="n">
        <f aca="false">E35*G35</f>
        <v>3</v>
      </c>
      <c r="I35" s="5" t="s">
        <v>113</v>
      </c>
      <c r="J35" s="5" t="s">
        <v>114</v>
      </c>
    </row>
    <row r="36" customFormat="false" ht="15" hidden="false" customHeight="false" outlineLevel="0" collapsed="false">
      <c r="A36" s="4" t="n">
        <v>32</v>
      </c>
      <c r="B36" s="5" t="s">
        <v>103</v>
      </c>
      <c r="C36" s="6" t="s">
        <v>115</v>
      </c>
      <c r="D36" s="5" t="s">
        <v>116</v>
      </c>
      <c r="E36" s="7" t="n">
        <v>1</v>
      </c>
      <c r="F36" s="4" t="s">
        <v>27</v>
      </c>
      <c r="G36" s="8" t="n">
        <v>8</v>
      </c>
      <c r="H36" s="9" t="n">
        <f aca="false">E36*G36</f>
        <v>8</v>
      </c>
      <c r="I36" s="5" t="s">
        <v>117</v>
      </c>
      <c r="J36" s="5"/>
    </row>
    <row r="37" customFormat="false" ht="15" hidden="false" customHeight="false" outlineLevel="0" collapsed="false">
      <c r="A37" s="4" t="n">
        <v>33</v>
      </c>
      <c r="B37" s="5" t="s">
        <v>103</v>
      </c>
      <c r="C37" s="6" t="s">
        <v>118</v>
      </c>
      <c r="D37" s="5" t="s">
        <v>119</v>
      </c>
      <c r="E37" s="7" t="n">
        <v>1</v>
      </c>
      <c r="F37" s="4" t="s">
        <v>27</v>
      </c>
      <c r="G37" s="8" t="n">
        <v>5</v>
      </c>
      <c r="H37" s="9" t="n">
        <f aca="false">E37*G37</f>
        <v>5</v>
      </c>
      <c r="I37" s="5" t="s">
        <v>120</v>
      </c>
      <c r="J37" s="5"/>
    </row>
    <row r="38" customFormat="false" ht="15" hidden="false" customHeight="false" outlineLevel="0" collapsed="false">
      <c r="A38" s="4" t="n">
        <v>34</v>
      </c>
      <c r="B38" s="5" t="s">
        <v>103</v>
      </c>
      <c r="C38" s="6" t="s">
        <v>121</v>
      </c>
      <c r="D38" s="5"/>
      <c r="E38" s="7" t="n">
        <v>4</v>
      </c>
      <c r="F38" s="4" t="s">
        <v>15</v>
      </c>
      <c r="G38" s="8" t="n">
        <v>0.5</v>
      </c>
      <c r="H38" s="9" t="n">
        <f aca="false">E38*G38</f>
        <v>2</v>
      </c>
      <c r="I38" s="5" t="s">
        <v>122</v>
      </c>
      <c r="J38" s="5"/>
    </row>
    <row r="39" customFormat="false" ht="15" hidden="false" customHeight="false" outlineLevel="0" collapsed="false">
      <c r="A39" s="4" t="n">
        <v>35</v>
      </c>
      <c r="B39" s="5" t="s">
        <v>103</v>
      </c>
      <c r="C39" s="6" t="s">
        <v>123</v>
      </c>
      <c r="D39" s="5"/>
      <c r="E39" s="7" t="n">
        <v>1</v>
      </c>
      <c r="F39" s="4" t="s">
        <v>15</v>
      </c>
      <c r="G39" s="8" t="n">
        <v>0.1</v>
      </c>
      <c r="H39" s="9" t="n">
        <f aca="false">E39*G39</f>
        <v>0.1</v>
      </c>
      <c r="I39" s="5" t="s">
        <v>124</v>
      </c>
      <c r="J39" s="5" t="s">
        <v>125</v>
      </c>
    </row>
    <row r="40" customFormat="false" ht="15" hidden="false" customHeight="false" outlineLevel="0" collapsed="false">
      <c r="A40" s="4" t="n">
        <v>36</v>
      </c>
      <c r="B40" s="5" t="s">
        <v>103</v>
      </c>
      <c r="C40" s="6" t="s">
        <v>126</v>
      </c>
      <c r="D40" s="5"/>
      <c r="E40" s="7" t="n">
        <v>1</v>
      </c>
      <c r="F40" s="4" t="s">
        <v>15</v>
      </c>
      <c r="G40" s="8" t="n">
        <v>3</v>
      </c>
      <c r="H40" s="9" t="n">
        <f aca="false">E40*G40</f>
        <v>3</v>
      </c>
      <c r="I40" s="5" t="s">
        <v>127</v>
      </c>
      <c r="J40" s="5" t="s">
        <v>56</v>
      </c>
    </row>
    <row r="41" customFormat="false" ht="15" hidden="false" customHeight="false" outlineLevel="0" collapsed="false">
      <c r="A41" s="4" t="n">
        <v>37</v>
      </c>
      <c r="B41" s="5" t="s">
        <v>128</v>
      </c>
      <c r="C41" s="6" t="s">
        <v>129</v>
      </c>
      <c r="D41" s="5" t="s">
        <v>130</v>
      </c>
      <c r="E41" s="7" t="n">
        <v>1</v>
      </c>
      <c r="F41" s="4" t="s">
        <v>15</v>
      </c>
      <c r="G41" s="8" t="n">
        <v>8</v>
      </c>
      <c r="H41" s="9" t="n">
        <f aca="false">E41*G41</f>
        <v>8</v>
      </c>
      <c r="I41" s="5" t="s">
        <v>131</v>
      </c>
      <c r="J41" s="5" t="s">
        <v>132</v>
      </c>
    </row>
    <row r="42" customFormat="false" ht="15" hidden="false" customHeight="false" outlineLevel="0" collapsed="false">
      <c r="A42" s="4" t="n">
        <v>38</v>
      </c>
      <c r="B42" s="5" t="s">
        <v>128</v>
      </c>
      <c r="C42" s="6" t="s">
        <v>133</v>
      </c>
      <c r="D42" s="5"/>
      <c r="E42" s="7" t="n">
        <v>4</v>
      </c>
      <c r="F42" s="4" t="s">
        <v>15</v>
      </c>
      <c r="G42" s="8" t="n">
        <v>0.5</v>
      </c>
      <c r="H42" s="9" t="n">
        <f aca="false">E42*G42</f>
        <v>2</v>
      </c>
      <c r="I42" s="5" t="s">
        <v>134</v>
      </c>
      <c r="J42" s="5"/>
    </row>
    <row r="43" customFormat="false" ht="23.85" hidden="false" customHeight="false" outlineLevel="0" collapsed="false">
      <c r="A43" s="4" t="n">
        <v>39</v>
      </c>
      <c r="B43" s="5" t="s">
        <v>128</v>
      </c>
      <c r="C43" s="6" t="s">
        <v>135</v>
      </c>
      <c r="D43" s="5" t="s">
        <v>136</v>
      </c>
      <c r="E43" s="7" t="n">
        <v>1</v>
      </c>
      <c r="F43" s="4" t="s">
        <v>66</v>
      </c>
      <c r="G43" s="8" t="n">
        <v>4</v>
      </c>
      <c r="H43" s="9" t="n">
        <f aca="false">E43*G43</f>
        <v>4</v>
      </c>
      <c r="I43" s="5" t="s">
        <v>137</v>
      </c>
      <c r="J43" s="5"/>
    </row>
    <row r="44" customFormat="false" ht="23.85" hidden="false" customHeight="false" outlineLevel="0" collapsed="false">
      <c r="A44" s="4" t="n">
        <v>40</v>
      </c>
      <c r="B44" s="5" t="s">
        <v>128</v>
      </c>
      <c r="C44" s="6" t="s">
        <v>138</v>
      </c>
      <c r="D44" s="5" t="s">
        <v>139</v>
      </c>
      <c r="E44" s="7" t="n">
        <v>1</v>
      </c>
      <c r="F44" s="4" t="s">
        <v>66</v>
      </c>
      <c r="G44" s="8" t="n">
        <v>5</v>
      </c>
      <c r="H44" s="9" t="n">
        <f aca="false">E44*G44</f>
        <v>5</v>
      </c>
      <c r="I44" s="5" t="s">
        <v>137</v>
      </c>
      <c r="J44" s="5"/>
    </row>
    <row r="45" customFormat="false" ht="23.85" hidden="false" customHeight="false" outlineLevel="0" collapsed="false">
      <c r="A45" s="4" t="n">
        <v>41</v>
      </c>
      <c r="B45" s="5" t="s">
        <v>128</v>
      </c>
      <c r="C45" s="6" t="s">
        <v>140</v>
      </c>
      <c r="D45" s="5" t="s">
        <v>141</v>
      </c>
      <c r="E45" s="7" t="n">
        <v>1</v>
      </c>
      <c r="F45" s="4" t="s">
        <v>66</v>
      </c>
      <c r="G45" s="8" t="n">
        <v>4</v>
      </c>
      <c r="H45" s="9" t="n">
        <f aca="false">E45*G45</f>
        <v>4</v>
      </c>
      <c r="I45" s="5" t="s">
        <v>137</v>
      </c>
      <c r="J45" s="5"/>
    </row>
    <row r="46" customFormat="false" ht="23.85" hidden="false" customHeight="false" outlineLevel="0" collapsed="false">
      <c r="A46" s="4" t="n">
        <v>42</v>
      </c>
      <c r="B46" s="5" t="s">
        <v>128</v>
      </c>
      <c r="C46" s="6" t="s">
        <v>142</v>
      </c>
      <c r="D46" s="5" t="s">
        <v>143</v>
      </c>
      <c r="E46" s="7" t="n">
        <v>1</v>
      </c>
      <c r="F46" s="4" t="s">
        <v>66</v>
      </c>
      <c r="G46" s="8" t="n">
        <v>3</v>
      </c>
      <c r="H46" s="9" t="n">
        <f aca="false">E46*G46</f>
        <v>3</v>
      </c>
      <c r="I46" s="5" t="s">
        <v>144</v>
      </c>
      <c r="J46" s="5" t="s">
        <v>145</v>
      </c>
    </row>
    <row r="47" customFormat="false" ht="35.05" hidden="false" customHeight="false" outlineLevel="0" collapsed="false">
      <c r="A47" s="4" t="n">
        <v>43</v>
      </c>
      <c r="B47" s="5" t="s">
        <v>128</v>
      </c>
      <c r="C47" s="6" t="s">
        <v>146</v>
      </c>
      <c r="D47" s="5" t="s">
        <v>119</v>
      </c>
      <c r="E47" s="7" t="n">
        <v>1</v>
      </c>
      <c r="F47" s="4" t="s">
        <v>27</v>
      </c>
      <c r="G47" s="8" t="n">
        <v>4</v>
      </c>
      <c r="H47" s="9" t="n">
        <f aca="false">E47*G47</f>
        <v>4</v>
      </c>
      <c r="I47" s="5" t="s">
        <v>147</v>
      </c>
      <c r="J47" s="5" t="s">
        <v>148</v>
      </c>
    </row>
    <row r="48" customFormat="false" ht="23.85" hidden="false" customHeight="false" outlineLevel="0" collapsed="false">
      <c r="A48" s="4" t="n">
        <v>44</v>
      </c>
      <c r="B48" s="5" t="s">
        <v>128</v>
      </c>
      <c r="C48" s="6" t="s">
        <v>149</v>
      </c>
      <c r="D48" s="5" t="s">
        <v>150</v>
      </c>
      <c r="E48" s="7" t="n">
        <v>1</v>
      </c>
      <c r="F48" s="4" t="s">
        <v>27</v>
      </c>
      <c r="G48" s="8" t="n">
        <v>3</v>
      </c>
      <c r="H48" s="9" t="n">
        <f aca="false">E48*G48</f>
        <v>3</v>
      </c>
      <c r="I48" s="5" t="s">
        <v>151</v>
      </c>
      <c r="J48" s="5" t="s">
        <v>152</v>
      </c>
    </row>
    <row r="49" customFormat="false" ht="15" hidden="false" customHeight="false" outlineLevel="0" collapsed="false">
      <c r="A49" s="4" t="n">
        <v>45</v>
      </c>
      <c r="B49" s="5" t="s">
        <v>128</v>
      </c>
      <c r="C49" s="6" t="s">
        <v>153</v>
      </c>
      <c r="D49" s="5" t="s">
        <v>154</v>
      </c>
      <c r="E49" s="7" t="n">
        <v>1</v>
      </c>
      <c r="F49" s="4" t="s">
        <v>66</v>
      </c>
      <c r="G49" s="8" t="n">
        <v>1</v>
      </c>
      <c r="H49" s="9" t="n">
        <f aca="false">E49*G49</f>
        <v>1</v>
      </c>
      <c r="I49" s="5" t="s">
        <v>155</v>
      </c>
      <c r="J49" s="5"/>
    </row>
    <row r="50" customFormat="false" ht="23.85" hidden="false" customHeight="false" outlineLevel="0" collapsed="false">
      <c r="A50" s="4" t="n">
        <v>46</v>
      </c>
      <c r="B50" s="5" t="s">
        <v>128</v>
      </c>
      <c r="C50" s="6" t="s">
        <v>156</v>
      </c>
      <c r="D50" s="5" t="s">
        <v>157</v>
      </c>
      <c r="E50" s="7" t="n">
        <v>1</v>
      </c>
      <c r="F50" s="4" t="s">
        <v>66</v>
      </c>
      <c r="G50" s="8" t="n">
        <v>3</v>
      </c>
      <c r="H50" s="9" t="n">
        <f aca="false">E50*G50</f>
        <v>3</v>
      </c>
      <c r="I50" s="5" t="s">
        <v>158</v>
      </c>
      <c r="J50" s="5" t="s">
        <v>159</v>
      </c>
    </row>
    <row r="51" customFormat="false" ht="23.85" hidden="false" customHeight="false" outlineLevel="0" collapsed="false">
      <c r="A51" s="4" t="n">
        <v>47</v>
      </c>
      <c r="B51" s="5" t="s">
        <v>128</v>
      </c>
      <c r="C51" s="6" t="s">
        <v>160</v>
      </c>
      <c r="D51" s="5" t="s">
        <v>154</v>
      </c>
      <c r="E51" s="7" t="n">
        <v>1</v>
      </c>
      <c r="F51" s="4" t="s">
        <v>27</v>
      </c>
      <c r="G51" s="8" t="n">
        <v>3</v>
      </c>
      <c r="H51" s="9" t="n">
        <f aca="false">E51*G51</f>
        <v>3</v>
      </c>
      <c r="I51" s="5" t="s">
        <v>161</v>
      </c>
      <c r="J51" s="5"/>
    </row>
    <row r="52" customFormat="false" ht="15" hidden="false" customHeight="false" outlineLevel="0" collapsed="false">
      <c r="A52" s="4" t="n">
        <v>48</v>
      </c>
      <c r="B52" s="5" t="s">
        <v>128</v>
      </c>
      <c r="C52" s="6" t="s">
        <v>162</v>
      </c>
      <c r="D52" s="5"/>
      <c r="E52" s="7" t="n">
        <v>2</v>
      </c>
      <c r="F52" s="4" t="s">
        <v>15</v>
      </c>
      <c r="G52" s="8" t="n">
        <v>20</v>
      </c>
      <c r="H52" s="9" t="n">
        <f aca="false">E52*G52</f>
        <v>40</v>
      </c>
      <c r="I52" s="5" t="s">
        <v>163</v>
      </c>
      <c r="J52" s="5" t="s">
        <v>164</v>
      </c>
    </row>
    <row r="53" customFormat="false" ht="15" hidden="false" customHeight="false" outlineLevel="0" collapsed="false">
      <c r="A53" s="10"/>
      <c r="B53" s="10"/>
      <c r="C53" s="11" t="s">
        <v>165</v>
      </c>
      <c r="D53" s="10"/>
      <c r="E53" s="10"/>
      <c r="F53" s="10"/>
      <c r="G53" s="10"/>
      <c r="H53" s="12" t="n">
        <f aca="false">SUM(H5:H52)</f>
        <v>243.6</v>
      </c>
      <c r="I53" s="10"/>
      <c r="J53" s="10"/>
    </row>
    <row r="55" customFormat="false" ht="15" hidden="false" customHeight="false" outlineLevel="0" collapsed="false">
      <c r="C55" s="13" t="s">
        <v>166</v>
      </c>
      <c r="H55" s="14"/>
    </row>
    <row r="56" customFormat="false" ht="15" hidden="false" customHeight="false" outlineLevel="0" collapsed="false">
      <c r="C56" s="5" t="s">
        <v>12</v>
      </c>
      <c r="H56" s="9" t="n">
        <f aca="false">SUMIF($B$5:$B$52,C56,$H$5:$H$52)</f>
        <v>56</v>
      </c>
    </row>
    <row r="57" customFormat="false" ht="15" hidden="false" customHeight="false" outlineLevel="0" collapsed="false">
      <c r="C57" s="5" t="s">
        <v>36</v>
      </c>
      <c r="H57" s="9" t="n">
        <f aca="false">SUMIF($B$5:$B$52,C57,$H$5:$H$52)</f>
        <v>46</v>
      </c>
    </row>
    <row r="58" customFormat="false" ht="15" hidden="false" customHeight="false" outlineLevel="0" collapsed="false">
      <c r="C58" s="5" t="s">
        <v>71</v>
      </c>
      <c r="H58" s="9" t="n">
        <f aca="false">SUMIF($B$5:$B$52,C58,$H$5:$H$52)</f>
        <v>27.5</v>
      </c>
    </row>
    <row r="59" customFormat="false" ht="15" hidden="false" customHeight="false" outlineLevel="0" collapsed="false">
      <c r="C59" s="5" t="s">
        <v>103</v>
      </c>
      <c r="H59" s="9" t="n">
        <f aca="false">SUMIF($B$5:$B$52,C59,$H$5:$H$52)</f>
        <v>34.1</v>
      </c>
    </row>
    <row r="60" customFormat="false" ht="15" hidden="false" customHeight="false" outlineLevel="0" collapsed="false">
      <c r="C60" s="5" t="s">
        <v>128</v>
      </c>
      <c r="H60" s="9" t="n">
        <f aca="false">SUMIF($B$5:$B$52,C60,$H$5:$H$52)</f>
        <v>80</v>
      </c>
    </row>
    <row r="61" customFormat="false" ht="23.85" hidden="false" customHeight="false" outlineLevel="0" collapsed="false">
      <c r="C61" s="5" t="s">
        <v>167</v>
      </c>
      <c r="H61" s="9" t="n">
        <f aca="false">H16+H31+H40</f>
        <v>11</v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6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90"/>
  </cols>
  <sheetData>
    <row r="1" customFormat="false" ht="17.35" hidden="false" customHeight="false" outlineLevel="0" collapsed="false">
      <c r="A1" s="1" t="s">
        <v>168</v>
      </c>
    </row>
    <row r="2" customFormat="false" ht="15" hidden="false" customHeight="false" outlineLevel="0" collapsed="false">
      <c r="A2" s="15" t="s">
        <v>169</v>
      </c>
    </row>
    <row r="4" customFormat="false" ht="30" hidden="false" customHeight="true" outlineLevel="0" collapsed="false">
      <c r="A4" s="3" t="s">
        <v>4</v>
      </c>
      <c r="B4" s="3" t="s">
        <v>5</v>
      </c>
      <c r="C4" s="3" t="s">
        <v>6</v>
      </c>
      <c r="D4" s="3" t="s">
        <v>170</v>
      </c>
      <c r="E4" s="3" t="s">
        <v>9</v>
      </c>
      <c r="F4" s="3" t="s">
        <v>171</v>
      </c>
    </row>
    <row r="5" customFormat="false" ht="15" hidden="false" customHeight="false" outlineLevel="0" collapsed="false">
      <c r="A5" s="6" t="s">
        <v>172</v>
      </c>
      <c r="B5" s="5"/>
      <c r="C5" s="4" t="n">
        <v>1</v>
      </c>
      <c r="D5" s="9" t="n">
        <v>28.18</v>
      </c>
      <c r="E5" s="9" t="n">
        <f aca="false">C5*D5</f>
        <v>28.18</v>
      </c>
      <c r="F5" s="5" t="s">
        <v>173</v>
      </c>
    </row>
    <row r="6" customFormat="false" ht="15" hidden="false" customHeight="false" outlineLevel="0" collapsed="false">
      <c r="A6" s="6" t="s">
        <v>174</v>
      </c>
      <c r="B6" s="5" t="s">
        <v>175</v>
      </c>
      <c r="C6" s="4" t="n">
        <v>1</v>
      </c>
      <c r="D6" s="9" t="n">
        <v>25.59</v>
      </c>
      <c r="E6" s="9" t="n">
        <f aca="false">C6*D6</f>
        <v>25.59</v>
      </c>
      <c r="F6" s="5" t="s">
        <v>176</v>
      </c>
    </row>
    <row r="7" customFormat="false" ht="23.85" hidden="false" customHeight="false" outlineLevel="0" collapsed="false">
      <c r="A7" s="6" t="s">
        <v>177</v>
      </c>
      <c r="B7" s="5" t="s">
        <v>178</v>
      </c>
      <c r="C7" s="4" t="n">
        <v>1</v>
      </c>
      <c r="D7" s="9" t="n">
        <v>184.46</v>
      </c>
      <c r="E7" s="9" t="n">
        <f aca="false">C7*D7</f>
        <v>184.46</v>
      </c>
      <c r="F7" s="5" t="s">
        <v>179</v>
      </c>
    </row>
    <row r="8" customFormat="false" ht="23.85" hidden="false" customHeight="false" outlineLevel="0" collapsed="false">
      <c r="A8" s="6" t="s">
        <v>180</v>
      </c>
      <c r="B8" s="5" t="s">
        <v>181</v>
      </c>
      <c r="C8" s="4" t="n">
        <v>5</v>
      </c>
      <c r="D8" s="9" t="n">
        <v>7.59</v>
      </c>
      <c r="E8" s="9" t="n">
        <f aca="false">C8*D8</f>
        <v>37.95</v>
      </c>
      <c r="F8" s="5" t="s">
        <v>182</v>
      </c>
    </row>
    <row r="9" customFormat="false" ht="15" hidden="false" customHeight="false" outlineLevel="0" collapsed="false">
      <c r="A9" s="6" t="s">
        <v>183</v>
      </c>
      <c r="B9" s="5" t="s">
        <v>184</v>
      </c>
      <c r="C9" s="4" t="n">
        <v>1</v>
      </c>
      <c r="D9" s="9" t="n">
        <v>5.9</v>
      </c>
      <c r="E9" s="9" t="n">
        <f aca="false">C9*D9</f>
        <v>5.9</v>
      </c>
      <c r="F9" s="16" t="s">
        <v>185</v>
      </c>
    </row>
    <row r="10" customFormat="false" ht="15" hidden="false" customHeight="false" outlineLevel="0" collapsed="false">
      <c r="A10" s="6" t="s">
        <v>186</v>
      </c>
      <c r="B10" s="5" t="s">
        <v>187</v>
      </c>
      <c r="C10" s="4" t="n">
        <v>1</v>
      </c>
      <c r="D10" s="9" t="n">
        <v>17.29</v>
      </c>
      <c r="E10" s="9" t="n">
        <f aca="false">C10*D10</f>
        <v>17.29</v>
      </c>
      <c r="F10" s="5" t="s">
        <v>188</v>
      </c>
    </row>
    <row r="11" customFormat="false" ht="15" hidden="false" customHeight="false" outlineLevel="0" collapsed="false">
      <c r="A11" s="6" t="s">
        <v>189</v>
      </c>
      <c r="B11" s="5" t="s">
        <v>190</v>
      </c>
      <c r="C11" s="4" t="n">
        <v>1</v>
      </c>
      <c r="D11" s="9" t="n">
        <v>13</v>
      </c>
      <c r="E11" s="9" t="n">
        <f aca="false">C11*D11</f>
        <v>13</v>
      </c>
      <c r="F11" s="5" t="s">
        <v>191</v>
      </c>
    </row>
    <row r="12" customFormat="false" ht="15" hidden="false" customHeight="false" outlineLevel="0" collapsed="false">
      <c r="A12" s="6" t="s">
        <v>192</v>
      </c>
      <c r="B12" s="5" t="s">
        <v>193</v>
      </c>
      <c r="C12" s="4" t="n">
        <v>1</v>
      </c>
      <c r="D12" s="9" t="n">
        <v>1.69</v>
      </c>
      <c r="E12" s="9" t="n">
        <f aca="false">C12*D12</f>
        <v>1.69</v>
      </c>
      <c r="F12" s="5" t="s">
        <v>194</v>
      </c>
    </row>
    <row r="13" customFormat="false" ht="15" hidden="false" customHeight="false" outlineLevel="0" collapsed="false">
      <c r="A13" s="6" t="s">
        <v>195</v>
      </c>
      <c r="B13" s="5" t="s">
        <v>196</v>
      </c>
      <c r="C13" s="4" t="n">
        <v>1</v>
      </c>
      <c r="D13" s="9" t="n">
        <v>8.34</v>
      </c>
      <c r="E13" s="9" t="n">
        <f aca="false">C13*D13</f>
        <v>8.34</v>
      </c>
      <c r="F13" s="5" t="s">
        <v>197</v>
      </c>
    </row>
    <row r="14" customFormat="false" ht="15" hidden="false" customHeight="false" outlineLevel="0" collapsed="false">
      <c r="A14" s="6" t="s">
        <v>198</v>
      </c>
      <c r="B14" s="5" t="s">
        <v>199</v>
      </c>
      <c r="C14" s="4" t="n">
        <v>2</v>
      </c>
      <c r="D14" s="9" t="n">
        <v>5.5</v>
      </c>
      <c r="E14" s="9" t="n">
        <f aca="false">C14*D14</f>
        <v>11</v>
      </c>
      <c r="F14" s="5" t="s">
        <v>200</v>
      </c>
    </row>
    <row r="15" customFormat="false" ht="15" hidden="false" customHeight="false" outlineLevel="0" collapsed="false">
      <c r="A15" s="6" t="s">
        <v>201</v>
      </c>
      <c r="B15" s="5" t="s">
        <v>202</v>
      </c>
      <c r="C15" s="4" t="n">
        <v>2</v>
      </c>
      <c r="D15" s="9" t="n">
        <v>10.85</v>
      </c>
      <c r="E15" s="9" t="n">
        <f aca="false">C15*D15</f>
        <v>21.7</v>
      </c>
      <c r="F15" s="5" t="s">
        <v>203</v>
      </c>
    </row>
    <row r="16" customFormat="false" ht="15" hidden="false" customHeight="false" outlineLevel="0" collapsed="false">
      <c r="A16" s="6" t="s">
        <v>204</v>
      </c>
      <c r="B16" s="5" t="s">
        <v>205</v>
      </c>
      <c r="C16" s="4" t="n">
        <v>1</v>
      </c>
      <c r="D16" s="9" t="n">
        <v>4.29</v>
      </c>
      <c r="E16" s="9" t="n">
        <f aca="false">C16*D16</f>
        <v>4.29</v>
      </c>
      <c r="F16" s="5" t="s">
        <v>206</v>
      </c>
    </row>
    <row r="17" customFormat="false" ht="15" hidden="false" customHeight="false" outlineLevel="0" collapsed="false">
      <c r="A17" s="6" t="s">
        <v>207</v>
      </c>
      <c r="B17" s="5" t="s">
        <v>208</v>
      </c>
      <c r="C17" s="4" t="n">
        <v>1</v>
      </c>
      <c r="D17" s="9" t="n">
        <v>6.75</v>
      </c>
      <c r="E17" s="9" t="n">
        <f aca="false">C17*D17</f>
        <v>6.75</v>
      </c>
      <c r="F17" s="5" t="s">
        <v>209</v>
      </c>
    </row>
    <row r="18" customFormat="false" ht="15" hidden="false" customHeight="false" outlineLevel="0" collapsed="false">
      <c r="A18" s="6" t="s">
        <v>210</v>
      </c>
      <c r="B18" s="5" t="s">
        <v>211</v>
      </c>
      <c r="C18" s="4" t="n">
        <v>1</v>
      </c>
      <c r="D18" s="9" t="n">
        <v>10.34</v>
      </c>
      <c r="E18" s="9" t="n">
        <f aca="false">C18*D18</f>
        <v>10.34</v>
      </c>
      <c r="F18" s="5" t="s">
        <v>212</v>
      </c>
    </row>
    <row r="19" customFormat="false" ht="15" hidden="false" customHeight="false" outlineLevel="0" collapsed="false">
      <c r="A19" s="6" t="s">
        <v>213</v>
      </c>
      <c r="B19" s="5" t="s">
        <v>214</v>
      </c>
      <c r="C19" s="4" t="n">
        <v>1</v>
      </c>
      <c r="D19" s="9" t="n">
        <v>4.83</v>
      </c>
      <c r="E19" s="9" t="n">
        <f aca="false">C19*D19</f>
        <v>4.83</v>
      </c>
      <c r="F19" s="5" t="s">
        <v>215</v>
      </c>
    </row>
    <row r="20" customFormat="false" ht="15" hidden="false" customHeight="false" outlineLevel="0" collapsed="false">
      <c r="A20" s="6" t="s">
        <v>216</v>
      </c>
      <c r="B20" s="5" t="s">
        <v>217</v>
      </c>
      <c r="C20" s="4" t="n">
        <v>1</v>
      </c>
      <c r="D20" s="9" t="n">
        <v>5.94</v>
      </c>
      <c r="E20" s="9" t="n">
        <f aca="false">C20*D20</f>
        <v>5.94</v>
      </c>
      <c r="F20" s="16" t="s">
        <v>218</v>
      </c>
    </row>
    <row r="21" customFormat="false" ht="15" hidden="false" customHeight="false" outlineLevel="0" collapsed="false">
      <c r="A21" s="6" t="s">
        <v>219</v>
      </c>
      <c r="B21" s="5" t="s">
        <v>220</v>
      </c>
      <c r="C21" s="4" t="n">
        <v>8</v>
      </c>
      <c r="D21" s="9" t="n">
        <v>5.53</v>
      </c>
      <c r="E21" s="9" t="n">
        <f aca="false">C21*D21</f>
        <v>44.24</v>
      </c>
      <c r="F21" s="5" t="s">
        <v>221</v>
      </c>
    </row>
    <row r="22" customFormat="false" ht="15" hidden="false" customHeight="false" outlineLevel="0" collapsed="false">
      <c r="A22" s="6" t="s">
        <v>222</v>
      </c>
      <c r="B22" s="5" t="s">
        <v>223</v>
      </c>
      <c r="C22" s="4" t="n">
        <v>2</v>
      </c>
      <c r="D22" s="9" t="n">
        <v>3.31</v>
      </c>
      <c r="E22" s="9" t="n">
        <f aca="false">C22*D22</f>
        <v>6.62</v>
      </c>
      <c r="F22" s="5" t="s">
        <v>224</v>
      </c>
    </row>
    <row r="23" customFormat="false" ht="15" hidden="false" customHeight="false" outlineLevel="0" collapsed="false">
      <c r="A23" s="11" t="s">
        <v>225</v>
      </c>
      <c r="B23" s="10"/>
      <c r="C23" s="10"/>
      <c r="D23" s="10"/>
      <c r="E23" s="12" t="n">
        <f aca="false">SUM(E5:E22)</f>
        <v>438.11</v>
      </c>
      <c r="F23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7"/>
    <col collapsed="false" customWidth="true" hidden="false" outlineLevel="0" max="7" min="3" style="0" width="12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226</v>
      </c>
    </row>
    <row r="2" customFormat="false" ht="15" hidden="false" customHeight="false" outlineLevel="0" collapsed="false">
      <c r="A2" s="17" t="s">
        <v>227</v>
      </c>
    </row>
    <row r="3" customFormat="false" ht="15" hidden="false" customHeight="false" outlineLevel="0" collapsed="false">
      <c r="A3" s="18" t="s">
        <v>228</v>
      </c>
      <c r="B3" s="19" t="n">
        <v>1.27</v>
      </c>
      <c r="C3" s="18" t="s">
        <v>229</v>
      </c>
      <c r="D3" s="19" t="n">
        <v>0.5</v>
      </c>
    </row>
    <row r="5" customFormat="false" ht="30" hidden="false" customHeight="true" outlineLevel="0" collapsed="false">
      <c r="A5" s="3" t="s">
        <v>230</v>
      </c>
      <c r="B5" s="3" t="s">
        <v>6</v>
      </c>
      <c r="C5" s="3" t="s">
        <v>231</v>
      </c>
      <c r="D5" s="3" t="s">
        <v>232</v>
      </c>
      <c r="E5" s="3" t="s">
        <v>233</v>
      </c>
      <c r="F5" s="3" t="s">
        <v>234</v>
      </c>
      <c r="G5" s="3" t="s">
        <v>235</v>
      </c>
      <c r="H5" s="3" t="s">
        <v>236</v>
      </c>
    </row>
    <row r="6" customFormat="false" ht="15" hidden="false" customHeight="false" outlineLevel="0" collapsed="false">
      <c r="A6" s="6" t="s">
        <v>237</v>
      </c>
      <c r="B6" s="4" t="n">
        <v>1</v>
      </c>
      <c r="C6" s="20" t="n">
        <v>11.6</v>
      </c>
      <c r="D6" s="20" t="n">
        <f aca="false">B6*C6</f>
        <v>11.6</v>
      </c>
      <c r="E6" s="20" t="n">
        <v>93.5</v>
      </c>
      <c r="F6" s="20" t="n">
        <v>93.5</v>
      </c>
      <c r="G6" s="20" t="n">
        <v>8</v>
      </c>
      <c r="H6" s="5"/>
    </row>
    <row r="7" customFormat="false" ht="15" hidden="false" customHeight="false" outlineLevel="0" collapsed="false">
      <c r="A7" s="6" t="s">
        <v>238</v>
      </c>
      <c r="B7" s="4" t="n">
        <v>1</v>
      </c>
      <c r="C7" s="20" t="n">
        <v>11.5</v>
      </c>
      <c r="D7" s="20" t="n">
        <f aca="false">B7*C7</f>
        <v>11.5</v>
      </c>
      <c r="E7" s="20" t="n">
        <v>93.5</v>
      </c>
      <c r="F7" s="20" t="n">
        <v>93.5</v>
      </c>
      <c r="G7" s="20" t="n">
        <v>8</v>
      </c>
      <c r="H7" s="5"/>
    </row>
    <row r="8" customFormat="false" ht="15" hidden="false" customHeight="false" outlineLevel="0" collapsed="false">
      <c r="A8" s="6" t="s">
        <v>239</v>
      </c>
      <c r="B8" s="4" t="n">
        <v>1</v>
      </c>
      <c r="C8" s="20" t="n">
        <v>22.5</v>
      </c>
      <c r="D8" s="20" t="n">
        <f aca="false">B8*C8</f>
        <v>22.5</v>
      </c>
      <c r="E8" s="20" t="n">
        <v>32</v>
      </c>
      <c r="F8" s="20" t="n">
        <v>32</v>
      </c>
      <c r="G8" s="20" t="n">
        <v>97.5</v>
      </c>
      <c r="H8" s="5"/>
    </row>
    <row r="9" customFormat="false" ht="15" hidden="false" customHeight="false" outlineLevel="0" collapsed="false">
      <c r="A9" s="6" t="s">
        <v>240</v>
      </c>
      <c r="B9" s="4" t="n">
        <v>1</v>
      </c>
      <c r="C9" s="20" t="n">
        <v>14.3</v>
      </c>
      <c r="D9" s="20" t="n">
        <f aca="false">B9*C9</f>
        <v>14.3</v>
      </c>
      <c r="E9" s="20" t="n">
        <v>44</v>
      </c>
      <c r="F9" s="20" t="n">
        <v>44</v>
      </c>
      <c r="G9" s="20" t="n">
        <v>23</v>
      </c>
      <c r="H9" s="5"/>
    </row>
    <row r="10" customFormat="false" ht="15" hidden="false" customHeight="false" outlineLevel="0" collapsed="false">
      <c r="A10" s="6" t="s">
        <v>241</v>
      </c>
      <c r="B10" s="4" t="n">
        <v>2</v>
      </c>
      <c r="C10" s="20" t="n">
        <v>13.6</v>
      </c>
      <c r="D10" s="20" t="n">
        <f aca="false">B10*C10</f>
        <v>27.2</v>
      </c>
      <c r="E10" s="20" t="n">
        <v>91.8</v>
      </c>
      <c r="F10" s="20" t="n">
        <v>91.8</v>
      </c>
      <c r="G10" s="20" t="n">
        <v>14.8</v>
      </c>
      <c r="H10" s="5"/>
    </row>
    <row r="11" customFormat="false" ht="15" hidden="false" customHeight="false" outlineLevel="0" collapsed="false">
      <c r="A11" s="6" t="s">
        <v>242</v>
      </c>
      <c r="B11" s="4" t="n">
        <v>0</v>
      </c>
      <c r="C11" s="20" t="n">
        <v>13.6</v>
      </c>
      <c r="D11" s="20" t="n">
        <f aca="false">B11*C11</f>
        <v>0</v>
      </c>
      <c r="E11" s="20" t="n">
        <v>91.8</v>
      </c>
      <c r="F11" s="20" t="n">
        <v>91.8</v>
      </c>
      <c r="G11" s="20" t="n">
        <v>14.8</v>
      </c>
      <c r="H11" s="5" t="s">
        <v>243</v>
      </c>
    </row>
    <row r="12" customFormat="false" ht="15" hidden="false" customHeight="false" outlineLevel="0" collapsed="false">
      <c r="A12" s="6" t="s">
        <v>244</v>
      </c>
      <c r="B12" s="4" t="n">
        <v>1</v>
      </c>
      <c r="C12" s="20" t="n">
        <v>0.9</v>
      </c>
      <c r="D12" s="20" t="n">
        <f aca="false">B12*C12</f>
        <v>0.9</v>
      </c>
      <c r="E12" s="20" t="n">
        <v>18.4</v>
      </c>
      <c r="F12" s="20" t="n">
        <v>4.4</v>
      </c>
      <c r="G12" s="20" t="n">
        <v>18</v>
      </c>
      <c r="H12" s="5"/>
    </row>
    <row r="13" customFormat="false" ht="15" hidden="false" customHeight="false" outlineLevel="0" collapsed="false">
      <c r="A13" s="6" t="s">
        <v>245</v>
      </c>
      <c r="B13" s="4" t="n">
        <v>1</v>
      </c>
      <c r="C13" s="20" t="n">
        <v>0.2</v>
      </c>
      <c r="D13" s="20" t="n">
        <f aca="false">B13*C13</f>
        <v>0.2</v>
      </c>
      <c r="E13" s="20" t="n">
        <v>20.4</v>
      </c>
      <c r="F13" s="20" t="n">
        <v>4.6</v>
      </c>
      <c r="G13" s="20" t="n">
        <v>4</v>
      </c>
      <c r="H13" s="5"/>
    </row>
    <row r="14" customFormat="false" ht="15" hidden="false" customHeight="false" outlineLevel="0" collapsed="false">
      <c r="A14" s="6" t="s">
        <v>246</v>
      </c>
      <c r="B14" s="4" t="n">
        <v>1</v>
      </c>
      <c r="C14" s="20" t="n">
        <v>10.6</v>
      </c>
      <c r="D14" s="20" t="n">
        <f aca="false">B14*C14</f>
        <v>10.6</v>
      </c>
      <c r="E14" s="20" t="n">
        <v>123</v>
      </c>
      <c r="F14" s="20" t="n">
        <v>39</v>
      </c>
      <c r="G14" s="20" t="n">
        <v>8</v>
      </c>
      <c r="H14" s="5" t="s">
        <v>247</v>
      </c>
    </row>
    <row r="15" customFormat="false" ht="15" hidden="false" customHeight="false" outlineLevel="0" collapsed="false">
      <c r="A15" s="6" t="s">
        <v>248</v>
      </c>
      <c r="B15" s="4" t="n">
        <v>1</v>
      </c>
      <c r="C15" s="20" t="n">
        <v>570.7</v>
      </c>
      <c r="D15" s="20" t="n">
        <f aca="false">B15*C15</f>
        <v>570.7</v>
      </c>
      <c r="E15" s="20" t="n">
        <v>182.8</v>
      </c>
      <c r="F15" s="20" t="n">
        <v>144.3</v>
      </c>
      <c r="G15" s="20" t="n">
        <v>109</v>
      </c>
      <c r="H15" s="5" t="s">
        <v>249</v>
      </c>
    </row>
    <row r="16" customFormat="false" ht="15" hidden="false" customHeight="false" outlineLevel="0" collapsed="false">
      <c r="A16" s="6" t="s">
        <v>250</v>
      </c>
      <c r="B16" s="4" t="n">
        <v>1</v>
      </c>
      <c r="C16" s="20" t="n">
        <v>81.2</v>
      </c>
      <c r="D16" s="20" t="n">
        <f aca="false">B16*C16</f>
        <v>81.2</v>
      </c>
      <c r="E16" s="20" t="n">
        <v>175.6</v>
      </c>
      <c r="F16" s="20" t="n">
        <v>121.8</v>
      </c>
      <c r="G16" s="20" t="n">
        <v>11</v>
      </c>
      <c r="H16" s="5" t="s">
        <v>251</v>
      </c>
    </row>
    <row r="17" customFormat="false" ht="15" hidden="false" customHeight="false" outlineLevel="0" collapsed="false">
      <c r="A17" s="6" t="s">
        <v>252</v>
      </c>
      <c r="B17" s="4" t="n">
        <v>1</v>
      </c>
      <c r="C17" s="20" t="n">
        <v>2.7</v>
      </c>
      <c r="D17" s="20" t="n">
        <f aca="false">B17*C17</f>
        <v>2.7</v>
      </c>
      <c r="E17" s="20" t="n">
        <v>22.3</v>
      </c>
      <c r="F17" s="20" t="n">
        <v>63.5</v>
      </c>
      <c r="G17" s="20" t="n">
        <v>2</v>
      </c>
      <c r="H17" s="5"/>
    </row>
    <row r="18" customFormat="false" ht="15" hidden="false" customHeight="false" outlineLevel="0" collapsed="false">
      <c r="A18" s="6" t="s">
        <v>253</v>
      </c>
      <c r="B18" s="4" t="n">
        <v>1</v>
      </c>
      <c r="C18" s="20" t="n">
        <v>12.2</v>
      </c>
      <c r="D18" s="20" t="n">
        <f aca="false">B18*C18</f>
        <v>12.2</v>
      </c>
      <c r="E18" s="20" t="n">
        <v>42</v>
      </c>
      <c r="F18" s="20" t="n">
        <v>36.1</v>
      </c>
      <c r="G18" s="20" t="n">
        <v>52</v>
      </c>
      <c r="H18" s="5"/>
    </row>
    <row r="19" customFormat="false" ht="15" hidden="false" customHeight="false" outlineLevel="0" collapsed="false">
      <c r="A19" s="6" t="s">
        <v>254</v>
      </c>
      <c r="B19" s="4" t="n">
        <v>1</v>
      </c>
      <c r="C19" s="20" t="n">
        <v>12.2</v>
      </c>
      <c r="D19" s="20" t="n">
        <f aca="false">B19*C19</f>
        <v>12.2</v>
      </c>
      <c r="E19" s="20" t="n">
        <v>42</v>
      </c>
      <c r="F19" s="20" t="n">
        <v>36.1</v>
      </c>
      <c r="G19" s="20" t="n">
        <v>52</v>
      </c>
      <c r="H19" s="5"/>
    </row>
    <row r="20" customFormat="false" ht="15" hidden="false" customHeight="false" outlineLevel="0" collapsed="false">
      <c r="A20" s="6" t="s">
        <v>255</v>
      </c>
      <c r="B20" s="4" t="n">
        <v>1</v>
      </c>
      <c r="C20" s="20" t="n">
        <v>17.2</v>
      </c>
      <c r="D20" s="20" t="n">
        <f aca="false">B20*C20</f>
        <v>17.2</v>
      </c>
      <c r="E20" s="20" t="n">
        <v>17</v>
      </c>
      <c r="F20" s="20" t="n">
        <v>104</v>
      </c>
      <c r="G20" s="20" t="n">
        <v>11</v>
      </c>
      <c r="H20" s="5" t="s">
        <v>251</v>
      </c>
    </row>
    <row r="21" customFormat="false" ht="15" hidden="false" customHeight="false" outlineLevel="0" collapsed="false">
      <c r="A21" s="6" t="s">
        <v>256</v>
      </c>
      <c r="B21" s="4" t="n">
        <v>1</v>
      </c>
      <c r="C21" s="20" t="n">
        <v>4.7</v>
      </c>
      <c r="D21" s="20" t="n">
        <f aca="false">B21*C21</f>
        <v>4.7</v>
      </c>
      <c r="E21" s="20" t="n">
        <v>25</v>
      </c>
      <c r="F21" s="20" t="n">
        <v>80</v>
      </c>
      <c r="G21" s="20" t="n">
        <v>14.7</v>
      </c>
      <c r="H21" s="5"/>
    </row>
    <row r="22" customFormat="false" ht="15" hidden="false" customHeight="false" outlineLevel="0" collapsed="false">
      <c r="A22" s="6" t="s">
        <v>257</v>
      </c>
      <c r="B22" s="4" t="n">
        <v>1</v>
      </c>
      <c r="C22" s="20" t="n">
        <v>0.9</v>
      </c>
      <c r="D22" s="20" t="n">
        <f aca="false">B22*C22</f>
        <v>0.9</v>
      </c>
      <c r="E22" s="20" t="n">
        <v>17.7</v>
      </c>
      <c r="F22" s="20" t="n">
        <v>35.2</v>
      </c>
      <c r="G22" s="20" t="n">
        <v>2.9</v>
      </c>
      <c r="H22" s="5"/>
    </row>
    <row r="23" customFormat="false" ht="15" hidden="false" customHeight="false" outlineLevel="0" collapsed="false">
      <c r="A23" s="6" t="s">
        <v>258</v>
      </c>
      <c r="B23" s="4" t="n">
        <v>1</v>
      </c>
      <c r="C23" s="20" t="n">
        <v>0.9</v>
      </c>
      <c r="D23" s="20" t="n">
        <f aca="false">B23*C23</f>
        <v>0.9</v>
      </c>
      <c r="E23" s="20" t="n">
        <v>17.7</v>
      </c>
      <c r="F23" s="20" t="n">
        <v>35.2</v>
      </c>
      <c r="G23" s="20" t="n">
        <v>2.9</v>
      </c>
      <c r="H23" s="5"/>
    </row>
    <row r="24" customFormat="false" ht="15" hidden="false" customHeight="false" outlineLevel="0" collapsed="false">
      <c r="A24" s="6" t="s">
        <v>259</v>
      </c>
      <c r="B24" s="4" t="n">
        <v>1</v>
      </c>
      <c r="C24" s="20" t="n">
        <v>0.5</v>
      </c>
      <c r="D24" s="20" t="n">
        <f aca="false">B24*C24</f>
        <v>0.5</v>
      </c>
      <c r="E24" s="20" t="n">
        <v>7</v>
      </c>
      <c r="F24" s="20" t="n">
        <v>35</v>
      </c>
      <c r="G24" s="20" t="n">
        <v>3</v>
      </c>
      <c r="H24" s="5"/>
    </row>
    <row r="25" customFormat="false" ht="15" hidden="false" customHeight="false" outlineLevel="0" collapsed="false">
      <c r="A25" s="6" t="s">
        <v>260</v>
      </c>
      <c r="B25" s="4" t="n">
        <v>1</v>
      </c>
      <c r="C25" s="20" t="n">
        <v>0.1</v>
      </c>
      <c r="D25" s="20" t="n">
        <f aca="false">B25*C25</f>
        <v>0.1</v>
      </c>
      <c r="E25" s="20" t="n">
        <v>7.2</v>
      </c>
      <c r="F25" s="20" t="n">
        <v>12.6</v>
      </c>
      <c r="G25" s="20" t="n">
        <v>3</v>
      </c>
      <c r="H25" s="5"/>
    </row>
    <row r="26" customFormat="false" ht="15" hidden="false" customHeight="false" outlineLevel="0" collapsed="false">
      <c r="A26" s="6" t="s">
        <v>261</v>
      </c>
      <c r="B26" s="4" t="n">
        <v>1</v>
      </c>
      <c r="C26" s="20" t="n">
        <v>39.4</v>
      </c>
      <c r="D26" s="20" t="n">
        <f aca="false">B26*C26</f>
        <v>39.4</v>
      </c>
      <c r="E26" s="20" t="n">
        <v>32</v>
      </c>
      <c r="F26" s="20" t="n">
        <v>72</v>
      </c>
      <c r="G26" s="20" t="n">
        <v>35.5</v>
      </c>
      <c r="H26" s="5" t="s">
        <v>262</v>
      </c>
    </row>
    <row r="27" customFormat="false" ht="15" hidden="false" customHeight="false" outlineLevel="0" collapsed="false">
      <c r="A27" s="6" t="s">
        <v>263</v>
      </c>
      <c r="B27" s="4" t="n">
        <v>1</v>
      </c>
      <c r="C27" s="20" t="n">
        <v>6.1</v>
      </c>
      <c r="D27" s="20" t="n">
        <f aca="false">B27*C27</f>
        <v>6.1</v>
      </c>
      <c r="E27" s="20" t="n">
        <v>8.5</v>
      </c>
      <c r="F27" s="20" t="n">
        <v>104</v>
      </c>
      <c r="G27" s="20" t="n">
        <v>8</v>
      </c>
      <c r="H27" s="5"/>
    </row>
    <row r="28" customFormat="false" ht="15" hidden="false" customHeight="false" outlineLevel="0" collapsed="false">
      <c r="A28" s="6" t="s">
        <v>264</v>
      </c>
      <c r="B28" s="4" t="n">
        <v>1</v>
      </c>
      <c r="C28" s="20" t="n">
        <v>2.5</v>
      </c>
      <c r="D28" s="20" t="n">
        <f aca="false">B28*C28</f>
        <v>2.5</v>
      </c>
      <c r="E28" s="20" t="n">
        <v>73</v>
      </c>
      <c r="F28" s="20" t="n">
        <v>13.7</v>
      </c>
      <c r="G28" s="20" t="n">
        <v>18.5</v>
      </c>
      <c r="H28" s="5" t="s">
        <v>265</v>
      </c>
    </row>
    <row r="29" customFormat="false" ht="15" hidden="false" customHeight="false" outlineLevel="0" collapsed="false">
      <c r="A29" s="6" t="s">
        <v>266</v>
      </c>
      <c r="B29" s="4" t="n">
        <v>1</v>
      </c>
      <c r="C29" s="20" t="n">
        <v>2.5</v>
      </c>
      <c r="D29" s="20" t="n">
        <f aca="false">B29*C29</f>
        <v>2.5</v>
      </c>
      <c r="E29" s="20" t="n">
        <v>73</v>
      </c>
      <c r="F29" s="20" t="n">
        <v>13.7</v>
      </c>
      <c r="G29" s="20" t="n">
        <v>18.5</v>
      </c>
      <c r="H29" s="5" t="s">
        <v>265</v>
      </c>
    </row>
    <row r="30" customFormat="false" ht="15" hidden="false" customHeight="false" outlineLevel="0" collapsed="false">
      <c r="A30" s="6" t="s">
        <v>267</v>
      </c>
      <c r="B30" s="4" t="n">
        <v>1</v>
      </c>
      <c r="C30" s="20" t="n">
        <v>5.6</v>
      </c>
      <c r="D30" s="20" t="n">
        <f aca="false">B30*C30</f>
        <v>5.6</v>
      </c>
      <c r="E30" s="20" t="n">
        <v>31.6</v>
      </c>
      <c r="F30" s="20" t="n">
        <v>31.4</v>
      </c>
      <c r="G30" s="20" t="n">
        <v>13.9</v>
      </c>
      <c r="H30" s="5"/>
    </row>
    <row r="31" customFormat="false" ht="15" hidden="false" customHeight="false" outlineLevel="0" collapsed="false">
      <c r="A31" s="6" t="s">
        <v>268</v>
      </c>
      <c r="B31" s="4" t="n">
        <v>1</v>
      </c>
      <c r="C31" s="20" t="n">
        <v>8.3</v>
      </c>
      <c r="D31" s="20" t="n">
        <f aca="false">B31*C31</f>
        <v>8.3</v>
      </c>
      <c r="E31" s="20" t="n">
        <v>42</v>
      </c>
      <c r="F31" s="20" t="n">
        <v>42</v>
      </c>
      <c r="G31" s="20" t="n">
        <v>24.5</v>
      </c>
      <c r="H31" s="5" t="s">
        <v>269</v>
      </c>
    </row>
    <row r="32" customFormat="false" ht="15" hidden="false" customHeight="false" outlineLevel="0" collapsed="false">
      <c r="A32" s="6" t="s">
        <v>270</v>
      </c>
      <c r="B32" s="4" t="n">
        <v>1</v>
      </c>
      <c r="C32" s="20" t="n">
        <v>0.4</v>
      </c>
      <c r="D32" s="20" t="n">
        <f aca="false">B32*C32</f>
        <v>0.4</v>
      </c>
      <c r="E32" s="20" t="n">
        <v>15.8</v>
      </c>
      <c r="F32" s="20" t="n">
        <v>15.8</v>
      </c>
      <c r="G32" s="20" t="n">
        <v>3.7</v>
      </c>
      <c r="H32" s="5"/>
    </row>
    <row r="33" customFormat="false" ht="15" hidden="false" customHeight="false" outlineLevel="0" collapsed="false">
      <c r="A33" s="6" t="s">
        <v>271</v>
      </c>
      <c r="B33" s="4" t="n">
        <v>1</v>
      </c>
      <c r="C33" s="20" t="n">
        <v>0.6</v>
      </c>
      <c r="D33" s="20" t="n">
        <f aca="false">B33*C33</f>
        <v>0.6</v>
      </c>
      <c r="E33" s="20" t="n">
        <v>15.8</v>
      </c>
      <c r="F33" s="20" t="n">
        <v>15.8</v>
      </c>
      <c r="G33" s="20" t="n">
        <v>5</v>
      </c>
      <c r="H33" s="5"/>
    </row>
    <row r="34" customFormat="false" ht="15" hidden="false" customHeight="false" outlineLevel="0" collapsed="false">
      <c r="A34" s="6" t="s">
        <v>272</v>
      </c>
      <c r="B34" s="4" t="n">
        <v>1</v>
      </c>
      <c r="C34" s="20" t="n">
        <v>0</v>
      </c>
      <c r="D34" s="20" t="n">
        <f aca="false">B34*C34</f>
        <v>0</v>
      </c>
      <c r="E34" s="20" t="n">
        <v>10.8</v>
      </c>
      <c r="F34" s="20" t="n">
        <v>10.8</v>
      </c>
      <c r="G34" s="20" t="n">
        <v>1</v>
      </c>
      <c r="H34" s="5"/>
    </row>
    <row r="35" customFormat="false" ht="15" hidden="false" customHeight="false" outlineLevel="0" collapsed="false">
      <c r="A35" s="6" t="s">
        <v>273</v>
      </c>
      <c r="B35" s="4" t="n">
        <v>1</v>
      </c>
      <c r="C35" s="20" t="n">
        <v>8.4</v>
      </c>
      <c r="D35" s="20" t="n">
        <f aca="false">B35*C35</f>
        <v>8.4</v>
      </c>
      <c r="E35" s="20" t="n">
        <v>34</v>
      </c>
      <c r="F35" s="20" t="n">
        <v>34</v>
      </c>
      <c r="G35" s="20" t="n">
        <v>19</v>
      </c>
      <c r="H35" s="5"/>
    </row>
    <row r="36" customFormat="false" ht="15" hidden="false" customHeight="false" outlineLevel="0" collapsed="false">
      <c r="A36" s="6" t="s">
        <v>274</v>
      </c>
      <c r="B36" s="4" t="n">
        <v>1</v>
      </c>
      <c r="C36" s="20" t="n">
        <v>6.5</v>
      </c>
      <c r="D36" s="20" t="n">
        <f aca="false">B36*C36</f>
        <v>6.5</v>
      </c>
      <c r="E36" s="20" t="n">
        <v>31.6</v>
      </c>
      <c r="F36" s="20" t="n">
        <v>31.6</v>
      </c>
      <c r="G36" s="20" t="n">
        <v>19</v>
      </c>
      <c r="H36" s="5"/>
    </row>
    <row r="37" customFormat="false" ht="15" hidden="false" customHeight="false" outlineLevel="0" collapsed="false">
      <c r="A37" s="6" t="s">
        <v>275</v>
      </c>
      <c r="B37" s="4" t="n">
        <v>1</v>
      </c>
      <c r="C37" s="20" t="n">
        <v>8.4</v>
      </c>
      <c r="D37" s="20" t="n">
        <f aca="false">B37*C37</f>
        <v>8.4</v>
      </c>
      <c r="E37" s="20" t="n">
        <v>53.5</v>
      </c>
      <c r="F37" s="20" t="n">
        <v>47</v>
      </c>
      <c r="G37" s="20" t="n">
        <v>4</v>
      </c>
      <c r="H37" s="5"/>
    </row>
    <row r="38" customFormat="false" ht="15" hidden="false" customHeight="false" outlineLevel="0" collapsed="false">
      <c r="A38" s="6" t="s">
        <v>276</v>
      </c>
      <c r="B38" s="4" t="n">
        <v>1</v>
      </c>
      <c r="C38" s="20" t="n">
        <v>5.1</v>
      </c>
      <c r="D38" s="20" t="n">
        <f aca="false">B38*C38</f>
        <v>5.1</v>
      </c>
      <c r="E38" s="20" t="n">
        <v>30</v>
      </c>
      <c r="F38" s="20" t="n">
        <v>30</v>
      </c>
      <c r="G38" s="20" t="n">
        <v>22</v>
      </c>
      <c r="H38" s="5"/>
    </row>
    <row r="39" customFormat="false" ht="15" hidden="false" customHeight="false" outlineLevel="0" collapsed="false">
      <c r="A39" s="6" t="s">
        <v>277</v>
      </c>
      <c r="B39" s="4" t="n">
        <v>1</v>
      </c>
      <c r="C39" s="20" t="n">
        <v>3.7</v>
      </c>
      <c r="D39" s="20" t="n">
        <f aca="false">B39*C39</f>
        <v>3.7</v>
      </c>
      <c r="E39" s="20" t="n">
        <v>18.5</v>
      </c>
      <c r="F39" s="20" t="n">
        <v>35</v>
      </c>
      <c r="G39" s="20" t="n">
        <v>19</v>
      </c>
      <c r="H39" s="5"/>
    </row>
    <row r="40" customFormat="false" ht="15" hidden="false" customHeight="false" outlineLevel="0" collapsed="false">
      <c r="A40" s="6" t="s">
        <v>278</v>
      </c>
      <c r="B40" s="4" t="n">
        <v>3</v>
      </c>
      <c r="C40" s="20" t="n">
        <v>7.9</v>
      </c>
      <c r="D40" s="20" t="n">
        <f aca="false">B40*C40</f>
        <v>23.7</v>
      </c>
      <c r="E40" s="20" t="n">
        <v>40</v>
      </c>
      <c r="F40" s="20" t="n">
        <v>23.5</v>
      </c>
      <c r="G40" s="20" t="n">
        <v>48.5</v>
      </c>
      <c r="H40" s="5" t="s">
        <v>279</v>
      </c>
    </row>
    <row r="41" customFormat="false" ht="15" hidden="false" customHeight="false" outlineLevel="0" collapsed="false">
      <c r="A41" s="6" t="s">
        <v>280</v>
      </c>
      <c r="B41" s="4" t="n">
        <v>3</v>
      </c>
      <c r="C41" s="20" t="n">
        <v>26.6</v>
      </c>
      <c r="D41" s="20" t="n">
        <f aca="false">B41*C41</f>
        <v>79.8</v>
      </c>
      <c r="E41" s="20" t="n">
        <v>67.6</v>
      </c>
      <c r="F41" s="20" t="n">
        <v>41.8</v>
      </c>
      <c r="G41" s="20" t="n">
        <v>22</v>
      </c>
      <c r="H41" s="5" t="s">
        <v>281</v>
      </c>
    </row>
    <row r="42" customFormat="false" ht="15" hidden="false" customHeight="false" outlineLevel="0" collapsed="false">
      <c r="A42" s="6" t="s">
        <v>282</v>
      </c>
      <c r="B42" s="4" t="n">
        <v>3</v>
      </c>
      <c r="C42" s="20" t="n">
        <v>7.7</v>
      </c>
      <c r="D42" s="20" t="n">
        <f aca="false">B42*C42</f>
        <v>23.1</v>
      </c>
      <c r="E42" s="20" t="n">
        <v>40</v>
      </c>
      <c r="F42" s="20" t="n">
        <v>68</v>
      </c>
      <c r="G42" s="20" t="n">
        <v>10</v>
      </c>
      <c r="H42" s="5" t="s">
        <v>283</v>
      </c>
    </row>
    <row r="43" customFormat="false" ht="15" hidden="false" customHeight="false" outlineLevel="0" collapsed="false">
      <c r="A43" s="6" t="s">
        <v>284</v>
      </c>
      <c r="B43" s="4" t="n">
        <v>3</v>
      </c>
      <c r="C43" s="20" t="n">
        <v>3.6</v>
      </c>
      <c r="D43" s="20" t="n">
        <f aca="false">B43*C43</f>
        <v>10.8</v>
      </c>
      <c r="E43" s="20" t="n">
        <v>40</v>
      </c>
      <c r="F43" s="20" t="n">
        <v>21</v>
      </c>
      <c r="G43" s="20" t="n">
        <v>10.6</v>
      </c>
      <c r="H43" s="5"/>
    </row>
    <row r="44" customFormat="false" ht="15" hidden="false" customHeight="false" outlineLevel="0" collapsed="false">
      <c r="A44" s="6" t="s">
        <v>285</v>
      </c>
      <c r="B44" s="4" t="n">
        <v>1</v>
      </c>
      <c r="C44" s="20" t="n">
        <v>69.2</v>
      </c>
      <c r="D44" s="20" t="n">
        <f aca="false">B44*C44</f>
        <v>69.2</v>
      </c>
      <c r="E44" s="20" t="n">
        <v>39.5</v>
      </c>
      <c r="F44" s="20" t="n">
        <v>200.6</v>
      </c>
      <c r="G44" s="20" t="n">
        <v>38</v>
      </c>
      <c r="H44" s="5" t="s">
        <v>265</v>
      </c>
    </row>
    <row r="45" customFormat="false" ht="15" hidden="false" customHeight="false" outlineLevel="0" collapsed="false">
      <c r="A45" s="6" t="s">
        <v>286</v>
      </c>
      <c r="B45" s="4" t="n">
        <v>1</v>
      </c>
      <c r="C45" s="20" t="n">
        <v>69.2</v>
      </c>
      <c r="D45" s="20" t="n">
        <f aca="false">B45*C45</f>
        <v>69.2</v>
      </c>
      <c r="E45" s="20" t="n">
        <v>39.5</v>
      </c>
      <c r="F45" s="20" t="n">
        <v>200.6</v>
      </c>
      <c r="G45" s="20" t="n">
        <v>38</v>
      </c>
      <c r="H45" s="5" t="s">
        <v>265</v>
      </c>
    </row>
    <row r="46" customFormat="false" ht="15" hidden="false" customHeight="false" outlineLevel="0" collapsed="false">
      <c r="A46" s="6" t="s">
        <v>287</v>
      </c>
      <c r="B46" s="4" t="n">
        <v>1</v>
      </c>
      <c r="C46" s="20" t="n">
        <v>7.1</v>
      </c>
      <c r="D46" s="20" t="n">
        <f aca="false">B46*C46</f>
        <v>7.1</v>
      </c>
      <c r="E46" s="20" t="n">
        <v>19</v>
      </c>
      <c r="F46" s="20" t="n">
        <v>49</v>
      </c>
      <c r="G46" s="20" t="n">
        <v>30</v>
      </c>
      <c r="H46" s="5"/>
    </row>
    <row r="47" customFormat="false" ht="15" hidden="false" customHeight="false" outlineLevel="0" collapsed="false">
      <c r="A47" s="6" t="s">
        <v>288</v>
      </c>
      <c r="B47" s="4" t="n">
        <v>1</v>
      </c>
      <c r="C47" s="20" t="n">
        <v>80.2</v>
      </c>
      <c r="D47" s="20" t="n">
        <f aca="false">B47*C47</f>
        <v>80.2</v>
      </c>
      <c r="E47" s="20" t="n">
        <v>190</v>
      </c>
      <c r="F47" s="20" t="n">
        <v>34.5</v>
      </c>
      <c r="G47" s="20" t="n">
        <v>22</v>
      </c>
      <c r="H47" s="5" t="s">
        <v>289</v>
      </c>
    </row>
    <row r="48" customFormat="false" ht="15" hidden="false" customHeight="false" outlineLevel="0" collapsed="false">
      <c r="A48" s="6" t="s">
        <v>290</v>
      </c>
      <c r="B48" s="4" t="n">
        <v>1</v>
      </c>
      <c r="C48" s="20" t="n">
        <v>60.1</v>
      </c>
      <c r="D48" s="20" t="n">
        <f aca="false">B48*C48</f>
        <v>60.1</v>
      </c>
      <c r="E48" s="20" t="n">
        <v>178</v>
      </c>
      <c r="F48" s="20" t="n">
        <v>100</v>
      </c>
      <c r="G48" s="20" t="n">
        <v>9.1</v>
      </c>
      <c r="H48" s="5"/>
    </row>
    <row r="49" customFormat="false" ht="15" hidden="false" customHeight="false" outlineLevel="0" collapsed="false">
      <c r="A49" s="6" t="s">
        <v>291</v>
      </c>
      <c r="B49" s="4" t="n">
        <v>1</v>
      </c>
      <c r="C49" s="20" t="n">
        <v>27.9</v>
      </c>
      <c r="D49" s="20" t="n">
        <f aca="false">B49*C49</f>
        <v>27.9</v>
      </c>
      <c r="E49" s="20" t="n">
        <v>14</v>
      </c>
      <c r="F49" s="20" t="n">
        <v>45.5</v>
      </c>
      <c r="G49" s="20" t="n">
        <v>150</v>
      </c>
      <c r="H49" s="5"/>
    </row>
    <row r="50" customFormat="false" ht="15" hidden="false" customHeight="false" outlineLevel="0" collapsed="false">
      <c r="A50" s="6" t="s">
        <v>292</v>
      </c>
      <c r="B50" s="4" t="n">
        <v>1</v>
      </c>
      <c r="C50" s="20" t="n">
        <v>19.8</v>
      </c>
      <c r="D50" s="20" t="n">
        <f aca="false">B50*C50</f>
        <v>19.8</v>
      </c>
      <c r="E50" s="20" t="n">
        <v>52</v>
      </c>
      <c r="F50" s="20" t="n">
        <v>90</v>
      </c>
      <c r="G50" s="20" t="n">
        <v>29.5</v>
      </c>
      <c r="H50" s="5"/>
    </row>
    <row r="51" customFormat="false" ht="15" hidden="false" customHeight="false" outlineLevel="0" collapsed="false">
      <c r="A51" s="6" t="s">
        <v>293</v>
      </c>
      <c r="B51" s="4" t="n">
        <v>1</v>
      </c>
      <c r="C51" s="20" t="n">
        <v>189.5</v>
      </c>
      <c r="D51" s="20" t="n">
        <f aca="false">B51*C51</f>
        <v>189.5</v>
      </c>
      <c r="E51" s="20" t="n">
        <v>204</v>
      </c>
      <c r="F51" s="20" t="n">
        <v>189</v>
      </c>
      <c r="G51" s="20" t="n">
        <v>23.5</v>
      </c>
      <c r="H51" s="5" t="s">
        <v>251</v>
      </c>
    </row>
    <row r="52" customFormat="false" ht="15" hidden="false" customHeight="false" outlineLevel="0" collapsed="false">
      <c r="A52" s="6" t="s">
        <v>294</v>
      </c>
      <c r="B52" s="4" t="n">
        <v>1</v>
      </c>
      <c r="C52" s="20" t="n">
        <v>98.4</v>
      </c>
      <c r="D52" s="20" t="n">
        <f aca="false">B52*C52</f>
        <v>98.4</v>
      </c>
      <c r="E52" s="20" t="n">
        <v>113</v>
      </c>
      <c r="F52" s="20" t="n">
        <v>185</v>
      </c>
      <c r="G52" s="20" t="n">
        <v>18</v>
      </c>
      <c r="H52" s="5"/>
    </row>
    <row r="53" customFormat="false" ht="15" hidden="false" customHeight="false" outlineLevel="0" collapsed="false">
      <c r="A53" s="6" t="s">
        <v>295</v>
      </c>
      <c r="B53" s="4" t="n">
        <v>1</v>
      </c>
      <c r="C53" s="20" t="n">
        <v>103.8</v>
      </c>
      <c r="D53" s="20" t="n">
        <f aca="false">B53*C53</f>
        <v>103.8</v>
      </c>
      <c r="E53" s="20" t="n">
        <v>113</v>
      </c>
      <c r="F53" s="20" t="n">
        <v>185</v>
      </c>
      <c r="G53" s="20" t="n">
        <v>18</v>
      </c>
      <c r="H53" s="5"/>
    </row>
    <row r="54" customFormat="false" ht="15" hidden="false" customHeight="false" outlineLevel="0" collapsed="false">
      <c r="A54" s="6" t="s">
        <v>296</v>
      </c>
      <c r="B54" s="4" t="n">
        <v>1</v>
      </c>
      <c r="C54" s="20" t="n">
        <v>34.9</v>
      </c>
      <c r="D54" s="20" t="n">
        <f aca="false">B54*C54</f>
        <v>34.9</v>
      </c>
      <c r="E54" s="20" t="n">
        <v>202</v>
      </c>
      <c r="F54" s="20" t="n">
        <v>53</v>
      </c>
      <c r="G54" s="20" t="n">
        <v>4</v>
      </c>
      <c r="H54" s="5"/>
    </row>
    <row r="55" customFormat="false" ht="15" hidden="false" customHeight="false" outlineLevel="0" collapsed="false">
      <c r="A55" s="6" t="s">
        <v>297</v>
      </c>
      <c r="B55" s="4" t="n">
        <v>1</v>
      </c>
      <c r="C55" s="20" t="n">
        <v>68</v>
      </c>
      <c r="D55" s="20" t="n">
        <f aca="false">B55*C55</f>
        <v>68</v>
      </c>
      <c r="E55" s="20" t="n">
        <v>42.3</v>
      </c>
      <c r="F55" s="20" t="n">
        <v>148</v>
      </c>
      <c r="G55" s="20" t="n">
        <v>89.5</v>
      </c>
      <c r="H55" s="5" t="s">
        <v>251</v>
      </c>
    </row>
    <row r="56" customFormat="false" ht="15" hidden="false" customHeight="false" outlineLevel="0" collapsed="false">
      <c r="A56" s="6" t="s">
        <v>298</v>
      </c>
      <c r="B56" s="4" t="n">
        <v>1</v>
      </c>
      <c r="C56" s="20" t="n">
        <v>96.4</v>
      </c>
      <c r="D56" s="20" t="n">
        <f aca="false">B56*C56</f>
        <v>96.4</v>
      </c>
      <c r="E56" s="20" t="n">
        <v>226</v>
      </c>
      <c r="F56" s="20" t="n">
        <v>124</v>
      </c>
      <c r="G56" s="20" t="n">
        <v>15</v>
      </c>
      <c r="H56" s="5"/>
    </row>
    <row r="57" customFormat="false" ht="15" hidden="false" customHeight="false" outlineLevel="0" collapsed="false">
      <c r="A57" s="6" t="s">
        <v>299</v>
      </c>
      <c r="B57" s="4" t="n">
        <v>1</v>
      </c>
      <c r="C57" s="20" t="n">
        <v>99.4</v>
      </c>
      <c r="D57" s="20" t="n">
        <f aca="false">B57*C57</f>
        <v>99.4</v>
      </c>
      <c r="E57" s="20" t="n">
        <v>226</v>
      </c>
      <c r="F57" s="20" t="n">
        <v>124</v>
      </c>
      <c r="G57" s="20" t="n">
        <v>15</v>
      </c>
      <c r="H57" s="5"/>
    </row>
    <row r="58" customFormat="false" ht="15" hidden="false" customHeight="false" outlineLevel="0" collapsed="false">
      <c r="A58" s="6" t="s">
        <v>300</v>
      </c>
      <c r="B58" s="4" t="n">
        <v>1</v>
      </c>
      <c r="C58" s="20" t="n">
        <v>87.6</v>
      </c>
      <c r="D58" s="20" t="n">
        <f aca="false">B58*C58</f>
        <v>87.6</v>
      </c>
      <c r="E58" s="20" t="n">
        <v>190</v>
      </c>
      <c r="F58" s="20" t="n">
        <v>163</v>
      </c>
      <c r="G58" s="20" t="n">
        <v>3</v>
      </c>
      <c r="H58" s="5"/>
    </row>
    <row r="59" customFormat="false" ht="15" hidden="false" customHeight="false" outlineLevel="0" collapsed="false">
      <c r="A59" s="6" t="s">
        <v>301</v>
      </c>
      <c r="B59" s="4" t="n">
        <v>1</v>
      </c>
      <c r="C59" s="20" t="n">
        <v>33.4</v>
      </c>
      <c r="D59" s="20" t="n">
        <f aca="false">B59*C59</f>
        <v>33.4</v>
      </c>
      <c r="E59" s="20" t="n">
        <v>189.4</v>
      </c>
      <c r="F59" s="20" t="n">
        <v>84.9</v>
      </c>
      <c r="G59" s="20" t="n">
        <v>6.2</v>
      </c>
      <c r="H59" s="5" t="s">
        <v>302</v>
      </c>
    </row>
    <row r="60" customFormat="false" ht="15" hidden="false" customHeight="false" outlineLevel="0" collapsed="false">
      <c r="A60" s="6" t="s">
        <v>303</v>
      </c>
      <c r="B60" s="4" t="n">
        <v>1</v>
      </c>
      <c r="C60" s="20" t="n">
        <v>29.1</v>
      </c>
      <c r="D60" s="20" t="n">
        <f aca="false">B60*C60</f>
        <v>29.1</v>
      </c>
      <c r="E60" s="20" t="n">
        <v>190</v>
      </c>
      <c r="F60" s="20" t="n">
        <v>58</v>
      </c>
      <c r="G60" s="20" t="n">
        <v>3</v>
      </c>
      <c r="H60" s="5"/>
    </row>
    <row r="61" customFormat="false" ht="15" hidden="false" customHeight="false" outlineLevel="0" collapsed="false">
      <c r="A61" s="6" t="s">
        <v>304</v>
      </c>
      <c r="B61" s="4" t="n">
        <v>1</v>
      </c>
      <c r="C61" s="20" t="n">
        <v>126.4</v>
      </c>
      <c r="D61" s="20" t="n">
        <f aca="false">B61*C61</f>
        <v>126.4</v>
      </c>
      <c r="E61" s="20" t="n">
        <v>190</v>
      </c>
      <c r="F61" s="20" t="n">
        <v>226</v>
      </c>
      <c r="G61" s="20" t="n">
        <v>3</v>
      </c>
      <c r="H61" s="5"/>
    </row>
    <row r="62" customFormat="false" ht="15" hidden="false" customHeight="false" outlineLevel="0" collapsed="false">
      <c r="A62" s="6" t="s">
        <v>305</v>
      </c>
      <c r="B62" s="4" t="n">
        <v>3</v>
      </c>
      <c r="C62" s="20" t="n">
        <v>28.4</v>
      </c>
      <c r="D62" s="20" t="n">
        <f aca="false">B62*C62</f>
        <v>85.2</v>
      </c>
      <c r="E62" s="20" t="n">
        <v>180</v>
      </c>
      <c r="F62" s="20" t="n">
        <v>58</v>
      </c>
      <c r="G62" s="20" t="n">
        <v>3</v>
      </c>
      <c r="H62" s="5"/>
    </row>
    <row r="63" customFormat="false" ht="15" hidden="false" customHeight="false" outlineLevel="0" collapsed="false">
      <c r="A63" s="6" t="s">
        <v>306</v>
      </c>
      <c r="B63" s="4" t="n">
        <v>4</v>
      </c>
      <c r="C63" s="20" t="n">
        <v>0.5</v>
      </c>
      <c r="D63" s="20" t="n">
        <f aca="false">B63*C63</f>
        <v>2</v>
      </c>
      <c r="E63" s="20" t="n">
        <v>9</v>
      </c>
      <c r="F63" s="20" t="n">
        <v>9</v>
      </c>
      <c r="G63" s="20" t="n">
        <v>10</v>
      </c>
      <c r="H63" s="5"/>
    </row>
    <row r="64" customFormat="false" ht="15" hidden="false" customHeight="false" outlineLevel="0" collapsed="false">
      <c r="A64" s="6" t="s">
        <v>307</v>
      </c>
      <c r="B64" s="4" t="n">
        <v>8</v>
      </c>
      <c r="C64" s="20" t="n">
        <v>2.8</v>
      </c>
      <c r="D64" s="20" t="n">
        <f aca="false">B64*C64</f>
        <v>22.4</v>
      </c>
      <c r="E64" s="20" t="n">
        <v>9</v>
      </c>
      <c r="F64" s="20" t="n">
        <v>9</v>
      </c>
      <c r="G64" s="20" t="n">
        <v>52</v>
      </c>
      <c r="H64" s="5"/>
    </row>
    <row r="65" customFormat="false" ht="15" hidden="false" customHeight="false" outlineLevel="0" collapsed="false">
      <c r="A65" s="6" t="s">
        <v>308</v>
      </c>
      <c r="B65" s="4" t="n">
        <v>10</v>
      </c>
      <c r="C65" s="20" t="n">
        <v>1.3</v>
      </c>
      <c r="D65" s="20" t="n">
        <f aca="false">B65*C65</f>
        <v>13</v>
      </c>
      <c r="E65" s="20" t="n">
        <v>15.5</v>
      </c>
      <c r="F65" s="20" t="n">
        <v>8.7</v>
      </c>
      <c r="G65" s="20" t="n">
        <v>12</v>
      </c>
      <c r="H65" s="5"/>
    </row>
    <row r="66" customFormat="false" ht="15" hidden="false" customHeight="false" outlineLevel="0" collapsed="false">
      <c r="A66" s="6" t="s">
        <v>309</v>
      </c>
      <c r="B66" s="4" t="n">
        <v>1</v>
      </c>
      <c r="C66" s="20" t="n">
        <v>28.9</v>
      </c>
      <c r="D66" s="20" t="n">
        <f aca="false">B66*C66</f>
        <v>28.9</v>
      </c>
      <c r="E66" s="20" t="n">
        <v>132</v>
      </c>
      <c r="F66" s="20" t="n">
        <v>63.2</v>
      </c>
      <c r="G66" s="20" t="n">
        <v>34</v>
      </c>
      <c r="H66" s="5"/>
    </row>
    <row r="67" customFormat="false" ht="15" hidden="false" customHeight="false" outlineLevel="0" collapsed="false">
      <c r="A67" s="6" t="s">
        <v>310</v>
      </c>
      <c r="B67" s="4" t="n">
        <v>4</v>
      </c>
      <c r="C67" s="20" t="n">
        <v>0.4</v>
      </c>
      <c r="D67" s="20" t="n">
        <f aca="false">B67*C67</f>
        <v>1.6</v>
      </c>
      <c r="E67" s="20" t="n">
        <v>17</v>
      </c>
      <c r="F67" s="20" t="n">
        <v>8</v>
      </c>
      <c r="G67" s="20" t="n">
        <v>3</v>
      </c>
      <c r="H67" s="5" t="s">
        <v>311</v>
      </c>
    </row>
    <row r="68" customFormat="false" ht="15" hidden="false" customHeight="false" outlineLevel="0" collapsed="false">
      <c r="A68" s="11" t="s">
        <v>312</v>
      </c>
      <c r="B68" s="21" t="n">
        <f aca="false">SUM(B6:B67)</f>
        <v>94</v>
      </c>
      <c r="C68" s="10"/>
      <c r="D68" s="22" t="n">
        <f aca="false">SUM(D6:D67)</f>
        <v>2490.5</v>
      </c>
      <c r="E68" s="10"/>
      <c r="F68" s="10"/>
      <c r="G68" s="10"/>
      <c r="H68" s="10"/>
    </row>
    <row r="69" customFormat="false" ht="15" hidden="false" customHeight="false" outlineLevel="0" collapsed="false">
      <c r="A69" s="6" t="s">
        <v>313</v>
      </c>
      <c r="D69" s="23" t="n">
        <f aca="false">D68*B3*D3/1000</f>
        <v>1.5814675</v>
      </c>
    </row>
    <row r="70" customFormat="false" ht="15" hidden="false" customHeight="false" outlineLevel="0" collapsed="false">
      <c r="A70" s="5" t="s">
        <v>314</v>
      </c>
      <c r="E70" s="20" t="n">
        <f aca="false">MAX(E6:E67)</f>
        <v>226</v>
      </c>
      <c r="F70" s="20" t="n">
        <f aca="false">MAX(F6:F67)</f>
        <v>226</v>
      </c>
      <c r="G70" s="20" t="n">
        <f aca="false">MAX(G6:G67)</f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7"/>
    <col collapsed="false" customWidth="true" hidden="false" outlineLevel="0" max="3" min="3" style="0" width="60"/>
    <col collapsed="false" customWidth="true" hidden="false" outlineLevel="0" max="5" min="5" style="0" width="38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315</v>
      </c>
    </row>
    <row r="2" customFormat="false" ht="15" hidden="false" customHeight="false" outlineLevel="0" collapsed="false">
      <c r="A2" s="15" t="s">
        <v>316</v>
      </c>
    </row>
    <row r="4" customFormat="false" ht="30" hidden="false" customHeight="true" outlineLevel="0" collapsed="false">
      <c r="A4" s="3" t="s">
        <v>317</v>
      </c>
      <c r="B4" s="3" t="s">
        <v>6</v>
      </c>
      <c r="C4" s="3" t="s">
        <v>318</v>
      </c>
      <c r="E4" s="24" t="s">
        <v>317</v>
      </c>
      <c r="F4" s="24" t="s">
        <v>319</v>
      </c>
    </row>
    <row r="5" customFormat="false" ht="15" hidden="false" customHeight="false" outlineLevel="0" collapsed="false">
      <c r="A5" s="6" t="s">
        <v>320</v>
      </c>
      <c r="B5" s="4" t="n">
        <v>4</v>
      </c>
      <c r="C5" s="5" t="s">
        <v>321</v>
      </c>
      <c r="E5" s="5" t="s">
        <v>320</v>
      </c>
      <c r="F5" s="4" t="n">
        <f aca="false">SUMIF($A$5:$A$44,E5,$B$5:$B$44)</f>
        <v>30</v>
      </c>
    </row>
    <row r="6" customFormat="false" ht="15" hidden="false" customHeight="false" outlineLevel="0" collapsed="false">
      <c r="A6" s="6" t="s">
        <v>322</v>
      </c>
      <c r="B6" s="4" t="n">
        <v>4</v>
      </c>
      <c r="C6" s="5" t="s">
        <v>323</v>
      </c>
      <c r="E6" s="5" t="s">
        <v>322</v>
      </c>
      <c r="F6" s="4" t="n">
        <f aca="false">SUMIF($A$5:$A$44,E6,$B$5:$B$44)</f>
        <v>8</v>
      </c>
    </row>
    <row r="7" customFormat="false" ht="15" hidden="false" customHeight="false" outlineLevel="0" collapsed="false">
      <c r="A7" s="6" t="s">
        <v>320</v>
      </c>
      <c r="B7" s="4" t="n">
        <v>4</v>
      </c>
      <c r="C7" s="5" t="s">
        <v>324</v>
      </c>
      <c r="E7" s="5" t="s">
        <v>325</v>
      </c>
      <c r="F7" s="4" t="n">
        <f aca="false">SUMIF($A$5:$A$44,E7,$B$5:$B$44)</f>
        <v>4</v>
      </c>
    </row>
    <row r="8" customFormat="false" ht="15" hidden="false" customHeight="false" outlineLevel="0" collapsed="false">
      <c r="A8" s="6" t="s">
        <v>325</v>
      </c>
      <c r="B8" s="4" t="n">
        <v>4</v>
      </c>
      <c r="C8" s="5" t="s">
        <v>326</v>
      </c>
      <c r="E8" s="5" t="s">
        <v>327</v>
      </c>
      <c r="F8" s="4" t="n">
        <f aca="false">SUMIF($A$5:$A$44,E8,$B$5:$B$44)</f>
        <v>2</v>
      </c>
    </row>
    <row r="9" customFormat="false" ht="15" hidden="false" customHeight="false" outlineLevel="0" collapsed="false">
      <c r="A9" s="6" t="s">
        <v>327</v>
      </c>
      <c r="B9" s="4" t="n">
        <v>2</v>
      </c>
      <c r="C9" s="5" t="s">
        <v>328</v>
      </c>
      <c r="E9" s="5" t="s">
        <v>329</v>
      </c>
      <c r="F9" s="4" t="n">
        <f aca="false">SUMIF($A$5:$A$44,E9,$B$5:$B$44)</f>
        <v>1</v>
      </c>
    </row>
    <row r="10" customFormat="false" ht="15" hidden="false" customHeight="false" outlineLevel="0" collapsed="false">
      <c r="A10" s="6" t="s">
        <v>329</v>
      </c>
      <c r="B10" s="4" t="n">
        <v>1</v>
      </c>
      <c r="C10" s="5" t="s">
        <v>330</v>
      </c>
      <c r="E10" s="5" t="s">
        <v>331</v>
      </c>
      <c r="F10" s="4" t="n">
        <f aca="false">SUMIF($A$5:$A$44,E10,$B$5:$B$44)</f>
        <v>1</v>
      </c>
    </row>
    <row r="11" customFormat="false" ht="15" hidden="false" customHeight="false" outlineLevel="0" collapsed="false">
      <c r="A11" s="6" t="s">
        <v>331</v>
      </c>
      <c r="B11" s="4" t="n">
        <v>1</v>
      </c>
      <c r="C11" s="5" t="s">
        <v>332</v>
      </c>
      <c r="E11" s="5" t="s">
        <v>333</v>
      </c>
      <c r="F11" s="4" t="n">
        <f aca="false">SUMIF($A$5:$A$44,E11,$B$5:$B$44)</f>
        <v>28</v>
      </c>
    </row>
    <row r="12" customFormat="false" ht="15" hidden="false" customHeight="false" outlineLevel="0" collapsed="false">
      <c r="A12" s="6" t="s">
        <v>333</v>
      </c>
      <c r="B12" s="4" t="n">
        <v>2</v>
      </c>
      <c r="C12" s="5" t="s">
        <v>334</v>
      </c>
      <c r="E12" s="5" t="s">
        <v>335</v>
      </c>
      <c r="F12" s="4" t="n">
        <f aca="false">SUMIF($A$5:$A$44,E12,$B$5:$B$44)</f>
        <v>2</v>
      </c>
    </row>
    <row r="13" customFormat="false" ht="15" hidden="false" customHeight="false" outlineLevel="0" collapsed="false">
      <c r="A13" s="6" t="s">
        <v>333</v>
      </c>
      <c r="B13" s="4" t="n">
        <v>2</v>
      </c>
      <c r="C13" s="5" t="s">
        <v>336</v>
      </c>
      <c r="E13" s="5" t="s">
        <v>337</v>
      </c>
      <c r="F13" s="4" t="n">
        <f aca="false">SUMIF($A$5:$A$44,E13,$B$5:$B$44)</f>
        <v>3</v>
      </c>
    </row>
    <row r="14" customFormat="false" ht="15" hidden="false" customHeight="false" outlineLevel="0" collapsed="false">
      <c r="A14" s="6" t="s">
        <v>320</v>
      </c>
      <c r="B14" s="4" t="n">
        <v>1</v>
      </c>
      <c r="C14" s="5" t="s">
        <v>338</v>
      </c>
      <c r="E14" s="5" t="s">
        <v>339</v>
      </c>
      <c r="F14" s="4" t="n">
        <f aca="false">SUMIF($A$5:$A$44,E14,$B$5:$B$44)</f>
        <v>1</v>
      </c>
    </row>
    <row r="15" customFormat="false" ht="15" hidden="false" customHeight="false" outlineLevel="0" collapsed="false">
      <c r="A15" s="6" t="s">
        <v>320</v>
      </c>
      <c r="B15" s="4" t="n">
        <v>3</v>
      </c>
      <c r="C15" s="5" t="s">
        <v>340</v>
      </c>
      <c r="E15" s="5" t="s">
        <v>341</v>
      </c>
      <c r="F15" s="4" t="n">
        <f aca="false">SUMIF($A$5:$A$44,E15,$B$5:$B$44)</f>
        <v>1</v>
      </c>
    </row>
    <row r="16" customFormat="false" ht="23.85" hidden="false" customHeight="false" outlineLevel="0" collapsed="false">
      <c r="A16" s="6" t="s">
        <v>335</v>
      </c>
      <c r="B16" s="4" t="n">
        <v>2</v>
      </c>
      <c r="C16" s="5" t="s">
        <v>342</v>
      </c>
      <c r="E16" s="5" t="s">
        <v>343</v>
      </c>
      <c r="F16" s="4" t="n">
        <f aca="false">SUMIF($A$5:$A$44,E16,$B$5:$B$44)</f>
        <v>8</v>
      </c>
    </row>
    <row r="17" customFormat="false" ht="15" hidden="false" customHeight="false" outlineLevel="0" collapsed="false">
      <c r="A17" s="6" t="s">
        <v>337</v>
      </c>
      <c r="B17" s="4" t="n">
        <v>3</v>
      </c>
      <c r="C17" s="5" t="s">
        <v>344</v>
      </c>
      <c r="E17" s="5" t="s">
        <v>345</v>
      </c>
      <c r="F17" s="4" t="n">
        <f aca="false">SUMIF($A$5:$A$44,E17,$B$5:$B$44)</f>
        <v>6</v>
      </c>
    </row>
    <row r="18" customFormat="false" ht="15" hidden="false" customHeight="false" outlineLevel="0" collapsed="false">
      <c r="A18" s="6" t="s">
        <v>339</v>
      </c>
      <c r="B18" s="4" t="n">
        <v>1</v>
      </c>
      <c r="C18" s="5" t="s">
        <v>346</v>
      </c>
      <c r="E18" s="5" t="s">
        <v>347</v>
      </c>
      <c r="F18" s="4" t="n">
        <f aca="false">SUMIF($A$5:$A$44,E18,$B$5:$B$44)</f>
        <v>4</v>
      </c>
    </row>
    <row r="19" customFormat="false" ht="15" hidden="false" customHeight="false" outlineLevel="0" collapsed="false">
      <c r="A19" s="6" t="s">
        <v>341</v>
      </c>
      <c r="B19" s="4" t="n">
        <v>1</v>
      </c>
      <c r="C19" s="5" t="s">
        <v>348</v>
      </c>
      <c r="E19" s="5" t="s">
        <v>349</v>
      </c>
      <c r="F19" s="4" t="n">
        <f aca="false">SUMIF($A$5:$A$44,E19,$B$5:$B$44)</f>
        <v>32</v>
      </c>
    </row>
    <row r="20" customFormat="false" ht="15" hidden="false" customHeight="false" outlineLevel="0" collapsed="false">
      <c r="A20" s="6" t="s">
        <v>322</v>
      </c>
      <c r="B20" s="4" t="n">
        <v>4</v>
      </c>
      <c r="C20" s="5" t="s">
        <v>350</v>
      </c>
      <c r="E20" s="5" t="s">
        <v>351</v>
      </c>
      <c r="F20" s="4" t="n">
        <f aca="false">SUMIF($A$5:$A$44,E20,$B$5:$B$44)</f>
        <v>4</v>
      </c>
    </row>
    <row r="21" customFormat="false" ht="15" hidden="false" customHeight="false" outlineLevel="0" collapsed="false">
      <c r="A21" s="6" t="s">
        <v>343</v>
      </c>
      <c r="B21" s="4" t="n">
        <v>6</v>
      </c>
      <c r="C21" s="5" t="s">
        <v>352</v>
      </c>
      <c r="E21" s="5" t="s">
        <v>353</v>
      </c>
      <c r="F21" s="4" t="n">
        <f aca="false">SUMIF($A$5:$A$44,E21,$B$5:$B$44)</f>
        <v>4</v>
      </c>
    </row>
    <row r="22" customFormat="false" ht="15" hidden="false" customHeight="false" outlineLevel="0" collapsed="false">
      <c r="A22" s="6" t="s">
        <v>320</v>
      </c>
      <c r="B22" s="4" t="n">
        <v>6</v>
      </c>
      <c r="C22" s="5" t="s">
        <v>354</v>
      </c>
      <c r="E22" s="5" t="s">
        <v>355</v>
      </c>
      <c r="F22" s="4" t="n">
        <f aca="false">SUMIF($A$5:$A$44,E22,$B$5:$B$44)</f>
        <v>10</v>
      </c>
    </row>
    <row r="23" customFormat="false" ht="15" hidden="false" customHeight="false" outlineLevel="0" collapsed="false">
      <c r="A23" s="6" t="s">
        <v>345</v>
      </c>
      <c r="B23" s="4" t="n">
        <v>6</v>
      </c>
      <c r="C23" s="5" t="s">
        <v>356</v>
      </c>
      <c r="E23" s="11" t="s">
        <v>357</v>
      </c>
      <c r="F23" s="21" t="n">
        <f aca="false">SUM(F5:F22)</f>
        <v>149</v>
      </c>
    </row>
    <row r="24" customFormat="false" ht="15" hidden="false" customHeight="false" outlineLevel="0" collapsed="false">
      <c r="A24" s="6" t="s">
        <v>343</v>
      </c>
      <c r="B24" s="4" t="n">
        <v>2</v>
      </c>
      <c r="C24" s="5" t="s">
        <v>358</v>
      </c>
    </row>
    <row r="25" customFormat="false" ht="15" hidden="false" customHeight="false" outlineLevel="0" collapsed="false">
      <c r="A25" s="6" t="s">
        <v>347</v>
      </c>
      <c r="B25" s="4" t="n">
        <v>4</v>
      </c>
      <c r="C25" s="5" t="s">
        <v>359</v>
      </c>
    </row>
    <row r="26" customFormat="false" ht="15" hidden="false" customHeight="false" outlineLevel="0" collapsed="false">
      <c r="A26" s="6" t="s">
        <v>349</v>
      </c>
      <c r="B26" s="4" t="n">
        <v>2</v>
      </c>
      <c r="C26" s="5" t="s">
        <v>360</v>
      </c>
    </row>
    <row r="27" customFormat="false" ht="15" hidden="false" customHeight="false" outlineLevel="0" collapsed="false">
      <c r="A27" s="6" t="s">
        <v>349</v>
      </c>
      <c r="B27" s="4" t="n">
        <v>6</v>
      </c>
      <c r="C27" s="5" t="s">
        <v>361</v>
      </c>
    </row>
    <row r="28" customFormat="false" ht="15" hidden="false" customHeight="false" outlineLevel="0" collapsed="false">
      <c r="A28" s="6" t="s">
        <v>349</v>
      </c>
      <c r="B28" s="4" t="n">
        <v>2</v>
      </c>
      <c r="C28" s="5" t="s">
        <v>362</v>
      </c>
    </row>
    <row r="29" customFormat="false" ht="15" hidden="false" customHeight="false" outlineLevel="0" collapsed="false">
      <c r="A29" s="6" t="s">
        <v>349</v>
      </c>
      <c r="B29" s="4" t="n">
        <v>2</v>
      </c>
      <c r="C29" s="5" t="s">
        <v>363</v>
      </c>
    </row>
    <row r="30" customFormat="false" ht="15" hidden="false" customHeight="false" outlineLevel="0" collapsed="false">
      <c r="A30" s="6" t="s">
        <v>349</v>
      </c>
      <c r="B30" s="4" t="n">
        <v>6</v>
      </c>
      <c r="C30" s="5" t="s">
        <v>364</v>
      </c>
    </row>
    <row r="31" customFormat="false" ht="23.85" hidden="false" customHeight="false" outlineLevel="0" collapsed="false">
      <c r="A31" s="6" t="s">
        <v>349</v>
      </c>
      <c r="B31" s="4" t="n">
        <v>4</v>
      </c>
      <c r="C31" s="5" t="s">
        <v>365</v>
      </c>
    </row>
    <row r="32" customFormat="false" ht="15" hidden="false" customHeight="false" outlineLevel="0" collapsed="false">
      <c r="A32" s="6" t="s">
        <v>320</v>
      </c>
      <c r="B32" s="4" t="n">
        <v>6</v>
      </c>
      <c r="C32" s="5" t="s">
        <v>366</v>
      </c>
    </row>
    <row r="33" customFormat="false" ht="15" hidden="false" customHeight="false" outlineLevel="0" collapsed="false">
      <c r="A33" s="6" t="s">
        <v>320</v>
      </c>
      <c r="B33" s="4" t="n">
        <v>4</v>
      </c>
      <c r="C33" s="5" t="s">
        <v>367</v>
      </c>
    </row>
    <row r="34" customFormat="false" ht="15" hidden="false" customHeight="false" outlineLevel="0" collapsed="false">
      <c r="A34" s="6" t="s">
        <v>320</v>
      </c>
      <c r="B34" s="4" t="n">
        <v>2</v>
      </c>
      <c r="C34" s="5" t="s">
        <v>368</v>
      </c>
    </row>
    <row r="35" customFormat="false" ht="15" hidden="false" customHeight="false" outlineLevel="0" collapsed="false">
      <c r="A35" s="6" t="s">
        <v>349</v>
      </c>
      <c r="B35" s="4" t="n">
        <v>6</v>
      </c>
      <c r="C35" s="5" t="s">
        <v>369</v>
      </c>
    </row>
    <row r="36" customFormat="false" ht="15" hidden="false" customHeight="false" outlineLevel="0" collapsed="false">
      <c r="A36" s="6" t="s">
        <v>333</v>
      </c>
      <c r="B36" s="4" t="n">
        <v>6</v>
      </c>
      <c r="C36" s="5" t="s">
        <v>370</v>
      </c>
    </row>
    <row r="37" customFormat="false" ht="15" hidden="false" customHeight="false" outlineLevel="0" collapsed="false">
      <c r="A37" s="6" t="s">
        <v>333</v>
      </c>
      <c r="B37" s="4" t="n">
        <v>6</v>
      </c>
      <c r="C37" s="5" t="s">
        <v>371</v>
      </c>
    </row>
    <row r="38" customFormat="false" ht="15" hidden="false" customHeight="false" outlineLevel="0" collapsed="false">
      <c r="A38" s="6" t="s">
        <v>333</v>
      </c>
      <c r="B38" s="4" t="n">
        <v>4</v>
      </c>
      <c r="C38" s="5" t="s">
        <v>372</v>
      </c>
    </row>
    <row r="39" customFormat="false" ht="15" hidden="false" customHeight="false" outlineLevel="0" collapsed="false">
      <c r="A39" s="6" t="s">
        <v>333</v>
      </c>
      <c r="B39" s="4" t="n">
        <v>4</v>
      </c>
      <c r="C39" s="5" t="s">
        <v>373</v>
      </c>
    </row>
    <row r="40" customFormat="false" ht="15" hidden="false" customHeight="false" outlineLevel="0" collapsed="false">
      <c r="A40" s="6" t="s">
        <v>333</v>
      </c>
      <c r="B40" s="4" t="n">
        <v>4</v>
      </c>
      <c r="C40" s="5" t="s">
        <v>374</v>
      </c>
    </row>
    <row r="41" customFormat="false" ht="15" hidden="false" customHeight="false" outlineLevel="0" collapsed="false">
      <c r="A41" s="6" t="s">
        <v>351</v>
      </c>
      <c r="B41" s="4" t="n">
        <v>4</v>
      </c>
      <c r="C41" s="5" t="s">
        <v>375</v>
      </c>
    </row>
    <row r="42" customFormat="false" ht="15" hidden="false" customHeight="false" outlineLevel="0" collapsed="false">
      <c r="A42" s="6" t="s">
        <v>349</v>
      </c>
      <c r="B42" s="4" t="n">
        <v>4</v>
      </c>
      <c r="C42" s="5" t="s">
        <v>376</v>
      </c>
    </row>
    <row r="43" customFormat="false" ht="15" hidden="false" customHeight="false" outlineLevel="0" collapsed="false">
      <c r="A43" s="6" t="s">
        <v>353</v>
      </c>
      <c r="B43" s="4" t="n">
        <v>4</v>
      </c>
      <c r="C43" s="5" t="s">
        <v>377</v>
      </c>
    </row>
    <row r="44" customFormat="false" ht="15" hidden="false" customHeight="false" outlineLevel="0" collapsed="false">
      <c r="A44" s="6" t="s">
        <v>355</v>
      </c>
      <c r="B44" s="4" t="n">
        <v>10</v>
      </c>
      <c r="C44" s="5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2026-10-08T23:44:37Z</dcterms:created>
  <dc:creator>openpyxl</dc:creator>
  <dc:description/>
  <dc:language>en-US</dc:language>
  <cp:lastModifiedBy/>
  <dcterms:modified xsi:type="dcterms:W3CDTF">2026-10-08T23:44:37Z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